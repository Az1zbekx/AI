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<sst xmlns="http://schemas.openxmlformats.org/spreadsheetml/2006/main" count="36" uniqueCount="36">
  <si>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Meva</t>
  </si>
  <si>
    <t>Narxi</t>
  </si>
  <si>
    <t>Kg</t>
  </si>
  <si>
    <t xml:space="preserve">Jami narxi</t>
  </si>
  <si>
    <t>Olma</t>
  </si>
  <si>
    <t>Behi</t>
  </si>
  <si>
    <t>Uzum</t>
  </si>
  <si>
    <t>Ananas</t>
  </si>
  <si>
    <t>Mandarin</t>
  </si>
  <si>
    <t>Anjir</t>
  </si>
  <si>
    <t>Gilos</t>
  </si>
  <si>
    <t>Olcha</t>
  </si>
  <si>
    <t>Qulupnay</t>
  </si>
  <si>
    <t>Summasi</t>
  </si>
  <si>
    <t>Max</t>
  </si>
  <si>
    <t>Min</t>
  </si>
  <si>
    <t>Avarage</t>
  </si>
  <si>
    <t>Qurilmalar</t>
  </si>
  <si>
    <t>Soni</t>
  </si>
  <si>
    <t>kg</t>
  </si>
  <si>
    <t>Sabzavot</t>
  </si>
  <si>
    <t>Laptop</t>
  </si>
  <si>
    <t>Kartoshka</t>
  </si>
  <si>
    <t>PC</t>
  </si>
  <si>
    <t>Banan</t>
  </si>
  <si>
    <t>Piyoz</t>
  </si>
  <si>
    <t>Phone</t>
  </si>
  <si>
    <t>Pomidor</t>
  </si>
  <si>
    <t>Tab</t>
  </si>
  <si>
    <t>Kivi</t>
  </si>
  <si>
    <t>Sabzi</t>
  </si>
  <si>
    <t>PS6</t>
  </si>
  <si>
    <t>Tarvuz</t>
  </si>
  <si>
    <t>Sholg'om</t>
  </si>
  <si>
    <t>Sum</t>
  </si>
  <si>
    <t>Soni/Kg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</si>
</sst>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"/>
        <bgColor theme="9" tint="0"/>
      </patternFill>
    </fill>
    <fill>
      <patternFill patternType="solid">
        <fgColor theme="8" tint="0"/>
        <bgColor theme="8" tint="0"/>
      </patternFill>
    </fill>
    <fill>
      <patternFill patternType="solid">
        <fgColor theme="7" tint="0"/>
        <bgColor theme="7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1">
    <xf fontId="0" fillId="0" borderId="0" numFmtId="0" xfId="0"/>
    <xf fontId="0" fillId="3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0" borderId="1" numFmtId="0" xfId="1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>
        <v>10000</v>
      </c>
      <c r="C2" s="2">
        <v>20</v>
      </c>
      <c r="D2" s="2">
        <f>B2*C2</f>
        <v>200000</v>
      </c>
    </row>
    <row r="3" ht="14.25">
      <c r="A3" s="2" t="s">
        <v>5</v>
      </c>
      <c r="B3" s="2">
        <v>29000</v>
      </c>
      <c r="C3" s="2">
        <v>5</v>
      </c>
      <c r="D3" s="2">
        <f>B3*C3</f>
        <v>145000</v>
      </c>
    </row>
    <row r="4" ht="14.25">
      <c r="A4" s="2" t="s">
        <v>6</v>
      </c>
      <c r="B4" s="2">
        <v>15000</v>
      </c>
      <c r="C4" s="2">
        <v>7</v>
      </c>
      <c r="D4" s="2">
        <f>B4*C4</f>
        <v>105000</v>
      </c>
    </row>
    <row r="5" ht="14.25">
      <c r="A5" s="2" t="s">
        <v>7</v>
      </c>
      <c r="B5" s="2">
        <v>45000</v>
      </c>
      <c r="C5" s="2">
        <v>12</v>
      </c>
      <c r="D5" s="2">
        <f>B5*C5</f>
        <v>540000</v>
      </c>
    </row>
    <row r="6" ht="14.25">
      <c r="A6" s="2" t="s">
        <v>8</v>
      </c>
      <c r="B6" s="2">
        <v>30000</v>
      </c>
      <c r="C6" s="2">
        <v>5</v>
      </c>
      <c r="D6" s="2">
        <f>B6*C6</f>
        <v>150000</v>
      </c>
    </row>
    <row r="7" ht="14.25">
      <c r="A7" s="2" t="s">
        <v>9</v>
      </c>
      <c r="B7" s="2">
        <v>35000</v>
      </c>
      <c r="C7" s="2">
        <v>14</v>
      </c>
      <c r="D7" s="2">
        <f>B7*C7</f>
        <v>490000</v>
      </c>
    </row>
    <row r="8" ht="14.25">
      <c r="A8" s="2" t="s">
        <v>10</v>
      </c>
      <c r="B8" s="2">
        <v>100000</v>
      </c>
      <c r="C8" s="2">
        <v>3</v>
      </c>
      <c r="D8" s="2">
        <f>B8*C8</f>
        <v>300000</v>
      </c>
    </row>
    <row r="9" ht="14.25">
      <c r="A9" s="2" t="s">
        <v>11</v>
      </c>
      <c r="B9" s="2">
        <v>120000</v>
      </c>
      <c r="C9" s="2">
        <v>8</v>
      </c>
      <c r="D9" s="2">
        <f>B9*C9</f>
        <v>960000</v>
      </c>
    </row>
    <row r="10" ht="14.25">
      <c r="A10" s="2" t="s">
        <v>12</v>
      </c>
      <c r="B10" s="2">
        <v>70000</v>
      </c>
      <c r="C10" s="2">
        <v>9</v>
      </c>
      <c r="D10" s="2">
        <f>B10*C10</f>
        <v>630000</v>
      </c>
    </row>
    <row r="11" ht="14.25">
      <c r="A11" s="3" t="s">
        <v>13</v>
      </c>
      <c r="B11" s="2">
        <f>SUM(B2:B10)</f>
        <v>454000</v>
      </c>
      <c r="C11" s="2">
        <f>SUM(C2:C10)</f>
        <v>83</v>
      </c>
      <c r="D11" s="2">
        <f>SUM(D2:D10)</f>
        <v>3520000</v>
      </c>
    </row>
    <row r="12" ht="14.25">
      <c r="A12" s="3" t="s">
        <v>14</v>
      </c>
      <c r="B12" s="2">
        <f>MAX(B2:B10)</f>
        <v>120000</v>
      </c>
      <c r="C12" s="2">
        <f>MAX(C2:C10)</f>
        <v>20</v>
      </c>
      <c r="D12" s="2">
        <f>MAX(D2:D10)</f>
        <v>960000</v>
      </c>
    </row>
    <row r="13" ht="14.25">
      <c r="A13" s="3" t="s">
        <v>15</v>
      </c>
      <c r="B13" s="2">
        <f>MIN(B2:B10)</f>
        <v>10000</v>
      </c>
      <c r="C13" s="2">
        <f>MIN(C2:C10)</f>
        <v>3</v>
      </c>
      <c r="D13" s="2">
        <f>MIN(D2:D10)</f>
        <v>105000</v>
      </c>
    </row>
    <row r="14" ht="14.25">
      <c r="A14" s="3" t="s">
        <v>16</v>
      </c>
      <c r="B14" s="2">
        <f>AVERAGE(B2:B10)</f>
        <v>50444.444444444445</v>
      </c>
      <c r="C14" s="2">
        <f>AVERAGE(C2:C10)</f>
        <v>9.2222222222222214</v>
      </c>
      <c r="D14" s="2">
        <f>AVERAGE(D2:D10)</f>
        <v>391111.11111111112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04296875"/>
    <col bestFit="1" min="2" max="2" width="14.04296875"/>
    <col bestFit="1" min="4" max="4" width="15.09375"/>
    <col bestFit="1" min="7" max="7" width="12.5234375"/>
    <col bestFit="1" min="9" max="9" width="15.09375"/>
    <col bestFit="1" min="12" max="12" width="12.5234375"/>
    <col bestFit="1" min="14" max="14" width="14.04296875"/>
  </cols>
  <sheetData>
    <row r="1" ht="14.25">
      <c r="A1" s="1" t="s">
        <v>17</v>
      </c>
      <c r="B1" s="1" t="s">
        <v>1</v>
      </c>
      <c r="C1" s="1" t="s">
        <v>18</v>
      </c>
      <c r="D1" s="1" t="s">
        <v>3</v>
      </c>
      <c r="F1" s="4" t="s">
        <v>0</v>
      </c>
      <c r="G1" s="4" t="s">
        <v>1</v>
      </c>
      <c r="H1" s="4" t="s">
        <v>19</v>
      </c>
      <c r="I1" s="4" t="s">
        <v>3</v>
      </c>
      <c r="J1" s="5"/>
      <c r="K1" s="4" t="s">
        <v>20</v>
      </c>
      <c r="L1" s="4" t="s">
        <v>1</v>
      </c>
      <c r="M1" s="4" t="s">
        <v>2</v>
      </c>
      <c r="N1" s="4" t="s">
        <v>3</v>
      </c>
    </row>
    <row r="2" ht="14.25">
      <c r="A2" s="2" t="s">
        <v>21</v>
      </c>
      <c r="B2" s="6">
        <f ca="1">(RANDBETWEEN(10000,100000))</f>
        <v>39514</v>
      </c>
      <c r="C2" s="2">
        <f ca="1">RANDBETWEEN(10,50)</f>
        <v>44</v>
      </c>
      <c r="D2" s="6">
        <f>B2*C2</f>
        <v>1738616</v>
      </c>
      <c r="F2" s="3" t="s">
        <v>4</v>
      </c>
      <c r="G2" s="6">
        <f ca="1">RANDBETWEEN(10000,100000)</f>
        <v>18986</v>
      </c>
      <c r="H2" s="2">
        <f ca="1">RANDBETWEEN(10,50)</f>
        <v>26</v>
      </c>
      <c r="I2" s="6">
        <f>G2*H2</f>
        <v>493636</v>
      </c>
      <c r="J2" s="5"/>
      <c r="K2" s="3" t="s">
        <v>22</v>
      </c>
      <c r="L2" s="6">
        <f ca="1">RANDBETWEEN(10000,100000)</f>
        <v>87743</v>
      </c>
      <c r="M2" s="2">
        <f ca="1">RANDBETWEEN(10,50)</f>
        <v>40</v>
      </c>
      <c r="N2" s="6">
        <f>L2*M2</f>
        <v>3509720</v>
      </c>
    </row>
    <row r="3" ht="14.25">
      <c r="A3" s="2" t="s">
        <v>23</v>
      </c>
      <c r="B3" s="6">
        <f ca="1">(RANDBETWEEN(10000,100000))</f>
        <v>46771</v>
      </c>
      <c r="C3" s="2">
        <f ca="1">RANDBETWEEN(10,50)</f>
        <v>31</v>
      </c>
      <c r="D3" s="6">
        <f>B3*C3</f>
        <v>1449901</v>
      </c>
      <c r="F3" s="3" t="s">
        <v>24</v>
      </c>
      <c r="G3" s="6">
        <f ca="1">RANDBETWEEN(10000,100000)</f>
        <v>52635</v>
      </c>
      <c r="H3" s="2">
        <f ca="1">RANDBETWEEN(10,50)</f>
        <v>44</v>
      </c>
      <c r="I3" s="6">
        <f>G3*H3</f>
        <v>2315940</v>
      </c>
      <c r="J3" s="5"/>
      <c r="K3" s="3" t="s">
        <v>25</v>
      </c>
      <c r="L3" s="6">
        <f ca="1">RANDBETWEEN(10000,100000)</f>
        <v>93853</v>
      </c>
      <c r="M3" s="2">
        <f ca="1">RANDBETWEEN(10,50)</f>
        <v>34</v>
      </c>
      <c r="N3" s="6">
        <f>L3*M3</f>
        <v>3191002</v>
      </c>
    </row>
    <row r="4" ht="14.25">
      <c r="A4" s="2" t="s">
        <v>26</v>
      </c>
      <c r="B4" s="6">
        <f ca="1">(RANDBETWEEN(10000,100000))</f>
        <v>42000</v>
      </c>
      <c r="C4" s="2">
        <f ca="1">RANDBETWEEN(10,50)</f>
        <v>32</v>
      </c>
      <c r="D4" s="6">
        <f>B4*C4</f>
        <v>1344000</v>
      </c>
      <c r="F4" s="3" t="s">
        <v>10</v>
      </c>
      <c r="G4" s="6">
        <f ca="1">RANDBETWEEN(10000,100000)</f>
        <v>49011</v>
      </c>
      <c r="H4" s="2">
        <f ca="1">RANDBETWEEN(10,50)</f>
        <v>37</v>
      </c>
      <c r="I4" s="6">
        <f>G4*H4</f>
        <v>1813407</v>
      </c>
      <c r="J4" s="5"/>
      <c r="K4" s="3" t="s">
        <v>27</v>
      </c>
      <c r="L4" s="6">
        <f ca="1">RANDBETWEEN(10000,100000)</f>
        <v>39235</v>
      </c>
      <c r="M4" s="2">
        <f ca="1">RANDBETWEEN(10,50)</f>
        <v>35</v>
      </c>
      <c r="N4" s="6">
        <f>L4*M4</f>
        <v>1373225</v>
      </c>
    </row>
    <row r="5" ht="14.25">
      <c r="A5" s="2" t="s">
        <v>28</v>
      </c>
      <c r="B5" s="6">
        <f ca="1">(RANDBETWEEN(10000,100000))</f>
        <v>42988</v>
      </c>
      <c r="C5" s="2">
        <f ca="1">RANDBETWEEN(10,50)</f>
        <v>25</v>
      </c>
      <c r="D5" s="6">
        <f>B5*C5</f>
        <v>1074700</v>
      </c>
      <c r="F5" s="3" t="s">
        <v>29</v>
      </c>
      <c r="G5" s="6">
        <f ca="1">RANDBETWEEN(10000,100000)</f>
        <v>75539</v>
      </c>
      <c r="H5" s="2">
        <f ca="1">RANDBETWEEN(10,50)</f>
        <v>25</v>
      </c>
      <c r="I5" s="6">
        <f>G5*H5</f>
        <v>1888475</v>
      </c>
      <c r="J5" s="5"/>
      <c r="K5" s="3" t="s">
        <v>30</v>
      </c>
      <c r="L5" s="6">
        <f ca="1">RANDBETWEEN(10000,100000)</f>
        <v>79467</v>
      </c>
      <c r="M5" s="2">
        <f ca="1">RANDBETWEEN(10,50)</f>
        <v>48</v>
      </c>
      <c r="N5" s="6">
        <f>L5*M5</f>
        <v>3814416</v>
      </c>
    </row>
    <row r="6" ht="14.25">
      <c r="A6" s="2" t="s">
        <v>31</v>
      </c>
      <c r="B6" s="6">
        <f ca="1">(RANDBETWEEN(10000,100000))</f>
        <v>45031</v>
      </c>
      <c r="C6" s="2">
        <f ca="1">RANDBETWEEN(10,50)</f>
        <v>20</v>
      </c>
      <c r="D6" s="6">
        <f>B6*C6</f>
        <v>900620</v>
      </c>
      <c r="F6" s="3" t="s">
        <v>32</v>
      </c>
      <c r="G6" s="6">
        <f ca="1">RANDBETWEEN(10000,100000)</f>
        <v>27582</v>
      </c>
      <c r="H6" s="2">
        <f ca="1">RANDBETWEEN(10,50)</f>
        <v>38</v>
      </c>
      <c r="I6" s="6">
        <f>G6*H6</f>
        <v>1048116</v>
      </c>
      <c r="J6" s="5"/>
      <c r="K6" s="3" t="s">
        <v>33</v>
      </c>
      <c r="L6" s="6">
        <f ca="1">RANDBETWEEN(10000,100000)</f>
        <v>66849</v>
      </c>
      <c r="M6" s="2">
        <f ca="1">RANDBETWEEN(10,50)</f>
        <v>15</v>
      </c>
      <c r="N6" s="6">
        <f>L6*M6</f>
        <v>1002735</v>
      </c>
    </row>
    <row r="7" ht="14.25">
      <c r="A7" s="7" t="s">
        <v>34</v>
      </c>
      <c r="B7" s="6">
        <f>SUM(B2:B6)</f>
        <v>216304</v>
      </c>
      <c r="C7" s="8">
        <f>SUM(C2:C6)</f>
        <v>152</v>
      </c>
      <c r="D7" s="6">
        <f>SUM(D2:D6)</f>
        <v>6507837</v>
      </c>
      <c r="F7" s="9" t="s">
        <v>34</v>
      </c>
      <c r="G7" s="6">
        <f>SUM(G2:G6)</f>
        <v>223753</v>
      </c>
      <c r="H7" s="2">
        <f>SUM(H2:H6)</f>
        <v>170</v>
      </c>
      <c r="I7" s="6">
        <f>SUM(I2:I6)</f>
        <v>7559574</v>
      </c>
      <c r="J7" s="5"/>
      <c r="K7" s="9" t="s">
        <v>34</v>
      </c>
      <c r="L7" s="6">
        <f>SUM(L2:L6)</f>
        <v>367147</v>
      </c>
      <c r="M7" s="2">
        <f>SUM(M2:M6)</f>
        <v>172</v>
      </c>
      <c r="N7" s="6">
        <f>SUM(N2:N6)</f>
        <v>12891098</v>
      </c>
    </row>
    <row r="8" ht="14.25">
      <c r="A8" s="7" t="s">
        <v>14</v>
      </c>
      <c r="B8" s="6">
        <f>MAX(B2:B6)</f>
        <v>46771</v>
      </c>
      <c r="C8" s="2">
        <f>MAX(C2:C6)</f>
        <v>44</v>
      </c>
      <c r="D8" s="6">
        <f>MAX(D2:D6)</f>
        <v>1738616</v>
      </c>
      <c r="F8" s="9" t="s">
        <v>14</v>
      </c>
      <c r="G8" s="6">
        <f>MAX(G2:G6)</f>
        <v>75539</v>
      </c>
      <c r="H8" s="2">
        <f>MAX(H2:H6)</f>
        <v>44</v>
      </c>
      <c r="I8" s="6">
        <f>MAX(I2:I6)</f>
        <v>2315940</v>
      </c>
      <c r="J8" s="5"/>
      <c r="K8" s="9" t="s">
        <v>14</v>
      </c>
      <c r="L8" s="6">
        <f>MAX(L2:L6)</f>
        <v>93853</v>
      </c>
      <c r="M8" s="2">
        <f>MAX(M2:M6)</f>
        <v>48</v>
      </c>
      <c r="N8" s="6">
        <f>MAX(N2:N6)</f>
        <v>3814416</v>
      </c>
    </row>
    <row r="9" ht="14.25">
      <c r="A9" s="9" t="s">
        <v>15</v>
      </c>
      <c r="B9" s="6">
        <f>MIN(B2:B6)</f>
        <v>39514</v>
      </c>
      <c r="C9" s="2">
        <f>MIN(C2:C6)</f>
        <v>20</v>
      </c>
      <c r="D9" s="6">
        <f>MIN(D2:D6)</f>
        <v>900620</v>
      </c>
      <c r="F9" s="9" t="s">
        <v>15</v>
      </c>
      <c r="G9" s="6">
        <f>MIN(G2:G6)</f>
        <v>18986</v>
      </c>
      <c r="H9" s="2">
        <f>MIN(H2:H6)</f>
        <v>25</v>
      </c>
      <c r="I9" s="6">
        <f>MIN(I2:I6)</f>
        <v>493636</v>
      </c>
      <c r="J9" s="5"/>
      <c r="K9" s="9" t="s">
        <v>15</v>
      </c>
      <c r="L9" s="6">
        <f>MIN(L2:L6)</f>
        <v>39235</v>
      </c>
      <c r="M9" s="2">
        <f>MIN(M2:M6)</f>
        <v>15</v>
      </c>
      <c r="N9" s="6">
        <f>MIN(N2:N6)</f>
        <v>1002735</v>
      </c>
    </row>
    <row r="10" ht="14.25">
      <c r="A10" s="9" t="s">
        <v>16</v>
      </c>
      <c r="B10" s="6">
        <f>AVERAGE(B2:B6)</f>
        <v>43260.800000000003</v>
      </c>
      <c r="C10" s="2">
        <f>AVERAGE(C2:C6)</f>
        <v>30.399999999999999</v>
      </c>
      <c r="D10" s="6">
        <f>AVERAGE(D2:D6)</f>
        <v>1301567.3999999999</v>
      </c>
      <c r="F10" s="9" t="s">
        <v>16</v>
      </c>
      <c r="G10" s="6">
        <f>AVERAGE(G2:G6)</f>
        <v>44750.599999999999</v>
      </c>
      <c r="H10" s="2">
        <f>AVERAGE(H2:H6)</f>
        <v>34</v>
      </c>
      <c r="I10" s="6">
        <f>AVERAGE(I2:I6)</f>
        <v>1511914.8</v>
      </c>
      <c r="J10" s="5"/>
      <c r="K10" s="9" t="s">
        <v>16</v>
      </c>
      <c r="L10" s="6">
        <f>AVERAGE(L2:L6)</f>
        <v>73429.399999999994</v>
      </c>
      <c r="M10" s="2">
        <f>AVERAGE(M2:M6)</f>
        <v>34.399999999999999</v>
      </c>
      <c r="N10" s="6">
        <f>AVERAGE(N2:N6)</f>
        <v>2578219.6000000001</v>
      </c>
    </row>
    <row r="12" ht="14.25">
      <c r="A12" s="10"/>
      <c r="B12" s="4" t="s">
        <v>1</v>
      </c>
      <c r="C12" s="4" t="s">
        <v>35</v>
      </c>
      <c r="D12" s="4" t="s">
        <v>3</v>
      </c>
    </row>
    <row r="13" ht="14.25">
      <c r="A13" s="9" t="s">
        <v>34</v>
      </c>
      <c r="B13" s="6">
        <f>SUM(B7,G7,L7)</f>
        <v>807204</v>
      </c>
      <c r="C13" s="2">
        <f>SUM(C7,H7,M7)</f>
        <v>494</v>
      </c>
      <c r="D13" s="6">
        <f>SUM(D7,I7,N7)</f>
        <v>26958509</v>
      </c>
    </row>
    <row r="14" ht="14.25">
      <c r="A14" s="9" t="s">
        <v>14</v>
      </c>
      <c r="B14" s="6">
        <f>MAX(B8,G8,L8)</f>
        <v>93853</v>
      </c>
      <c r="C14" s="2">
        <f>MAX(C8,H8,M8)</f>
        <v>48</v>
      </c>
      <c r="D14" s="6">
        <f>MAX(D8,I8,N8)</f>
        <v>3814416</v>
      </c>
    </row>
    <row r="15" ht="14.25">
      <c r="A15" s="9" t="s">
        <v>15</v>
      </c>
      <c r="B15" s="6">
        <f>MIN(B9,G9,L9)</f>
        <v>18986</v>
      </c>
      <c r="C15" s="2">
        <f>MIN(C9,H9,M9)</f>
        <v>15</v>
      </c>
      <c r="D15" s="6">
        <f>MIN(D9,I9,N9)</f>
        <v>493636</v>
      </c>
    </row>
    <row r="16" ht="14.25">
      <c r="A16" s="9" t="s">
        <v>16</v>
      </c>
      <c r="B16" s="6">
        <f>AVERAGE(B10,G10,L10,)</f>
        <v>40360.199999999997</v>
      </c>
      <c r="C16" s="2">
        <f>AVERAGE(C10,H10,M10)</f>
        <v>32.933333333333337</v>
      </c>
      <c r="D16" s="6">
        <f>AVERAGE(D10,I9,N10)</f>
        <v>1457807.6666666667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2026-02-26T06:27:37Z</dcterms:modified>
</cp:coreProperties>
</file>