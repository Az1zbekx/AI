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<sst xmlns="http://schemas.openxmlformats.org/spreadsheetml/2006/main" count="26" uniqueCount="26">
  <si>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Car</t>
  </si>
  <si>
    <t>Oylar</t>
  </si>
  <si>
    <t xml:space="preserve">BMW X5</t>
  </si>
  <si>
    <t>May</t>
  </si>
  <si>
    <t>Iyun</t>
  </si>
  <si>
    <t>Iyul</t>
  </si>
  <si>
    <t>Avgust</t>
  </si>
  <si>
    <t>Sentyabr</t>
  </si>
  <si>
    <t>Sentabr</t>
  </si>
  <si>
    <t xml:space="preserve">Toyota Camry</t>
  </si>
  <si>
    <t xml:space="preserve">Toyato Camry</t>
  </si>
  <si>
    <t xml:space="preserve">Mercedes-Benz CLS</t>
  </si>
  <si>
    <t xml:space="preserve">BMW X5 May</t>
  </si>
  <si>
    <t xml:space="preserve">BMW X5 Avgust</t>
  </si>
  <si>
    <t xml:space="preserve">Toyato Camry Iyun</t>
  </si>
  <si>
    <t xml:space="preserve">Toyato Camry Sentabr</t>
  </si>
  <si>
    <t xml:space="preserve">Mercedes-Benz CLS Iyul</t>
  </si>
  <si>
    <t xml:space="preserve">Toyota Camry May</t>
  </si>
  <si>
    <t xml:space="preserve">Toyato Camry Avgust</t>
  </si>
  <si>
    <t xml:space="preserve">BMW X5 Iyun</t>
  </si>
  <si>
    <t xml:space="preserve">BMW X5 Sentabr</t>
  </si>
  <si>
    <t xml:space="preserve">May Toyato Camry</t>
  </si>
  <si>
    <t xml:space="preserve">Iyun BMW X5</t>
  </si>
  <si>
    <t xml:space="preserve">Iyul Mercedes-Benz CLS</t>
  </si>
  <si>
    <t xml:space="preserve">Avgust Toyota Camry</t>
  </si>
  <si>
    <t xml:space="preserve">Sentyabr BMW X5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</si>
</sst>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theme="8" tint="0.39997558519241921"/>
        <bgColor theme="8" tint="0.39997558519241921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1" fillId="2" borderId="4" numFmtId="0" xfId="0" applyFont="1" applyFill="1" applyBorder="1" applyAlignment="1">
      <alignment horizontal="center"/>
    </xf>
    <xf fontId="0" fillId="3" borderId="5" numFmtId="0" xfId="0" applyFill="1" applyBorder="1" applyAlignment="1">
      <alignment horizontal="center"/>
    </xf>
    <xf fontId="1" fillId="2" borderId="6" numFmtId="0" xfId="0" applyFont="1" applyFill="1" applyBorder="1" applyAlignment="1">
      <alignment horizontal="center" vertical="center"/>
    </xf>
    <xf fontId="0" fillId="2" borderId="5" numFmtId="0" xfId="0" applyFill="1" applyBorder="1"/>
    <xf fontId="0" fillId="2" borderId="5" numFmtId="0" xfId="0" applyFill="1" applyBorder="1"/>
    <xf fontId="0" fillId="3" borderId="5" numFmtId="0" xfId="0" applyFill="1" applyBorder="1"/>
    <xf fontId="0" fillId="0" borderId="5" numFmtId="0" xfId="0" applyBorder="1"/>
    <xf fontId="0" fillId="3" borderId="5" numFmtId="0" xfId="0" applyFill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1" numFmtId="0" xfId="0" applyBorder="1"/>
    <xf fontId="0" fillId="0" borderId="2" numFmtId="0" xfId="0" applyBorder="1"/>
    <xf fontId="0" fillId="3" borderId="5" numFmtId="0" xfId="0" applyFill="1" applyBorder="1" applyAlignment="1">
      <alignment horizontal="center" vertical="center"/>
    </xf>
    <xf fontId="0" fillId="2" borderId="5" numFmtId="0" xfId="0" applyFill="1" applyBorder="1" applyAlignment="1">
      <alignment horizont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3" borderId="5" numFmtId="0" xfId="0" applyFill="1" applyBorder="1"/>
    <xf fontId="0" fillId="0" borderId="5" numFmtId="0" xfId="0" applyBorder="1" applyAlignment="1">
      <alignment horizontal="center" vertical="center"/>
    </xf>
    <xf fontId="0" fillId="2" borderId="5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4.25"/>
  <cols>
    <col bestFit="1" min="1" max="1" width="17.57421875"/>
    <col bestFit="1" min="2" max="2" width="19.76171875"/>
    <col bestFit="1" min="3" max="3" width="21.19140625"/>
    <col bestFit="1" customWidth="1" min="4" max="4" width="19.09375"/>
    <col bestFit="1" min="5" max="5" width="21.19140625"/>
    <col bestFit="1" min="7" max="7" width="12.421875"/>
    <col bestFit="1" min="8" max="8" width="14.421875"/>
    <col bestFit="1" min="9" max="9" width="17.09375"/>
    <col bestFit="1" min="10" max="10" width="20.04296875"/>
    <col bestFit="1" min="11" max="11" width="21.19140625"/>
  </cols>
  <sheetData>
    <row r="1" ht="14.25">
      <c r="A1" s="1" t="s">
        <v>0</v>
      </c>
      <c r="B1" s="2" t="s">
        <v>1</v>
      </c>
      <c r="C1" s="3"/>
      <c r="D1" s="3"/>
      <c r="E1" s="3"/>
      <c r="F1" s="4"/>
      <c r="G1" s="5" t="s">
        <v>2</v>
      </c>
      <c r="H1" s="5"/>
      <c r="I1" s="5"/>
      <c r="J1" s="5"/>
    </row>
    <row r="2" ht="14.25">
      <c r="A2" s="6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3</v>
      </c>
      <c r="H2" s="9" t="s">
        <v>5</v>
      </c>
      <c r="I2" s="9" t="s">
        <v>6</v>
      </c>
      <c r="J2" s="9" t="s">
        <v>8</v>
      </c>
    </row>
    <row r="3" ht="14.25">
      <c r="A3" s="10" t="s">
        <v>2</v>
      </c>
      <c r="B3" s="10">
        <v>26400</v>
      </c>
      <c r="C3" s="10">
        <v>49000</v>
      </c>
      <c r="D3" s="10">
        <v>66600</v>
      </c>
      <c r="E3" s="10">
        <v>43500</v>
      </c>
      <c r="F3" s="10">
        <v>76900</v>
      </c>
      <c r="G3" s="10">
        <f>SUMIFS(B3:B22,A3:A22,A3,B3:B22,"&gt;30000")</f>
        <v>224700</v>
      </c>
      <c r="H3" s="10">
        <f>SUMIFS(D3:D22,A3:A22,A3,D3:D22,"&gt;40000")</f>
        <v>388400</v>
      </c>
      <c r="I3" s="10">
        <f>SUMIFS(E3:E22,A3:A22,A3,E3:E22,"&gt;25000")</f>
        <v>241800</v>
      </c>
      <c r="J3" s="10">
        <f>SUMIFS(F3:F22,A3:A22,A3,F3:F22,"&gt;70000")</f>
        <v>225900</v>
      </c>
    </row>
    <row r="4" ht="14.25">
      <c r="A4" s="10" t="s">
        <v>9</v>
      </c>
      <c r="B4" s="10">
        <v>76500</v>
      </c>
      <c r="C4" s="10">
        <v>55100</v>
      </c>
      <c r="D4" s="10">
        <v>53100</v>
      </c>
      <c r="E4" s="10">
        <v>24600</v>
      </c>
      <c r="F4" s="10">
        <v>78200</v>
      </c>
      <c r="G4" s="11" t="s">
        <v>10</v>
      </c>
      <c r="H4" s="11"/>
      <c r="I4" s="11"/>
      <c r="J4" s="12"/>
    </row>
    <row r="5" ht="14.25">
      <c r="A5" s="10" t="s">
        <v>9</v>
      </c>
      <c r="B5" s="10">
        <v>49400</v>
      </c>
      <c r="C5" s="10">
        <v>62500</v>
      </c>
      <c r="D5" s="10">
        <v>27600</v>
      </c>
      <c r="E5" s="10">
        <v>67300</v>
      </c>
      <c r="F5" s="10">
        <v>21000</v>
      </c>
      <c r="G5" s="11" t="s">
        <v>4</v>
      </c>
      <c r="H5" s="11" t="s">
        <v>8</v>
      </c>
      <c r="I5" s="11" t="s">
        <v>6</v>
      </c>
    </row>
    <row r="6" ht="14.25">
      <c r="A6" s="10" t="s">
        <v>11</v>
      </c>
      <c r="B6" s="10">
        <v>42500</v>
      </c>
      <c r="C6" s="10">
        <v>46500</v>
      </c>
      <c r="D6" s="10">
        <v>35300</v>
      </c>
      <c r="E6" s="10">
        <v>62300</v>
      </c>
      <c r="F6" s="10">
        <v>49300</v>
      </c>
      <c r="G6" s="13">
        <f>SUMIFS(C3:C22,A3:A22,A5,C3:C22,"&gt;50000")</f>
        <v>236000</v>
      </c>
      <c r="H6" s="13">
        <f>SUMIFS(F3:F22,A3:A22,A4,F3:F22,"&gt;60000")</f>
        <v>292600</v>
      </c>
      <c r="I6" s="13">
        <f>SUMIFS(E3:E22,A3:A22,A4,E3:E22,"&gt;30000")</f>
        <v>315600</v>
      </c>
    </row>
    <row r="7" ht="14.25">
      <c r="A7" s="10" t="s">
        <v>2</v>
      </c>
      <c r="B7" s="10">
        <v>61100</v>
      </c>
      <c r="C7" s="10">
        <v>55900</v>
      </c>
      <c r="D7" s="10">
        <v>55100</v>
      </c>
      <c r="E7" s="10">
        <v>56700</v>
      </c>
      <c r="F7" s="14">
        <v>20600</v>
      </c>
      <c r="G7" s="11" t="s">
        <v>11</v>
      </c>
      <c r="H7" s="11"/>
      <c r="I7" s="11"/>
    </row>
    <row r="8" ht="14.25">
      <c r="A8" s="10" t="s">
        <v>11</v>
      </c>
      <c r="B8" s="10">
        <v>66400</v>
      </c>
      <c r="C8" s="10">
        <v>38900</v>
      </c>
      <c r="D8" s="10">
        <v>73300</v>
      </c>
      <c r="E8" s="10">
        <v>70300</v>
      </c>
      <c r="F8" s="14">
        <v>38700</v>
      </c>
      <c r="G8" s="11" t="s">
        <v>3</v>
      </c>
      <c r="H8" s="11" t="s">
        <v>4</v>
      </c>
      <c r="I8" s="11" t="s">
        <v>5</v>
      </c>
    </row>
    <row r="9" ht="14.25">
      <c r="A9" s="10" t="s">
        <v>2</v>
      </c>
      <c r="B9" s="10">
        <v>49500</v>
      </c>
      <c r="C9" s="10">
        <v>29500</v>
      </c>
      <c r="D9" s="10">
        <v>35800</v>
      </c>
      <c r="E9" s="10">
        <v>27100</v>
      </c>
      <c r="F9" s="14">
        <v>51400</v>
      </c>
      <c r="G9" s="10">
        <f>SUMIFS(B3:B22,A3:A22,A6,B3:B22,"&gt;50000")</f>
        <v>251800</v>
      </c>
      <c r="H9" s="10">
        <f>SUMIFS(C3:C22,A3:A22,A6,C3:C22,"&gt;45000")</f>
        <v>147400</v>
      </c>
      <c r="I9" s="10">
        <f>SUMIFS(D3:D22,A3:A22,A6,D3:D22,"&gt;40000")</f>
        <v>144700</v>
      </c>
    </row>
    <row r="10" ht="14.25">
      <c r="A10" s="10" t="s">
        <v>9</v>
      </c>
      <c r="B10" s="10">
        <v>20200</v>
      </c>
      <c r="C10" s="10">
        <v>22400</v>
      </c>
      <c r="D10" s="10">
        <v>36800</v>
      </c>
      <c r="E10" s="10">
        <v>25300</v>
      </c>
      <c r="F10" s="10">
        <v>75700</v>
      </c>
      <c r="G10" s="15" t="s">
        <v>10</v>
      </c>
      <c r="H10" s="15"/>
    </row>
    <row r="11" ht="14.25">
      <c r="A11" s="10" t="s">
        <v>11</v>
      </c>
      <c r="B11" s="10">
        <v>59800</v>
      </c>
      <c r="C11" s="10">
        <v>35300</v>
      </c>
      <c r="D11" s="10">
        <v>71400</v>
      </c>
      <c r="E11" s="10">
        <v>71900</v>
      </c>
      <c r="F11" s="10">
        <v>73900</v>
      </c>
      <c r="G11" s="5" t="s">
        <v>3</v>
      </c>
      <c r="H11" s="5" t="s">
        <v>6</v>
      </c>
    </row>
    <row r="12" ht="14.25">
      <c r="A12" s="10" t="s">
        <v>11</v>
      </c>
      <c r="B12" s="10">
        <v>21900</v>
      </c>
      <c r="C12" s="10">
        <v>42300</v>
      </c>
      <c r="D12" s="10">
        <v>24300</v>
      </c>
      <c r="E12" s="10">
        <v>70900</v>
      </c>
      <c r="F12" s="10">
        <v>57600</v>
      </c>
      <c r="G12" s="10">
        <f>SUMIFS(B3:B22,A3:A22,A4,B3:B22,"&gt;40000",B3:B22,"&lt;80000")</f>
        <v>194700</v>
      </c>
      <c r="H12" s="10">
        <f>SUMIFS(E3:E22,A3:A22,A4,E3:E22,"&gt;25000",E3:E22,"&lt;70000")</f>
        <v>191600</v>
      </c>
    </row>
    <row r="13" ht="14.25">
      <c r="A13" s="10" t="s">
        <v>9</v>
      </c>
      <c r="B13" s="10">
        <v>22100</v>
      </c>
      <c r="C13" s="10">
        <v>41000</v>
      </c>
      <c r="D13" s="10">
        <v>78200</v>
      </c>
      <c r="E13" s="10">
        <v>68800</v>
      </c>
      <c r="F13" s="10">
        <v>29700</v>
      </c>
      <c r="G13" s="15" t="s">
        <v>2</v>
      </c>
      <c r="H13" s="15"/>
    </row>
    <row r="14" ht="14.25">
      <c r="A14" s="10" t="s">
        <v>2</v>
      </c>
      <c r="B14" s="10">
        <v>36500</v>
      </c>
      <c r="C14" s="10">
        <v>33900</v>
      </c>
      <c r="D14" s="10">
        <v>59700</v>
      </c>
      <c r="E14" s="10">
        <v>22400</v>
      </c>
      <c r="F14" s="10">
        <v>70500</v>
      </c>
      <c r="G14" s="15" t="s">
        <v>4</v>
      </c>
      <c r="H14" s="15" t="s">
        <v>8</v>
      </c>
    </row>
    <row r="15" ht="14.25">
      <c r="A15" s="10" t="s">
        <v>9</v>
      </c>
      <c r="B15" s="10">
        <v>38200</v>
      </c>
      <c r="C15" s="10">
        <v>60800</v>
      </c>
      <c r="D15" s="10">
        <v>52400</v>
      </c>
      <c r="E15" s="10">
        <v>30200</v>
      </c>
      <c r="F15" s="10">
        <v>67000</v>
      </c>
      <c r="G15" s="10">
        <f>SUMIFS(C3:C22,A3:A22,A3,C3:C22,"&gt;20000",C3:C22,"&lt;60000")</f>
        <v>237000</v>
      </c>
      <c r="H15" s="10">
        <f>SUMIFS(F3:F22,A3:A22,A3,F3:F22,"&gt;20000",F3:F22,"&lt;80000")</f>
        <v>371700</v>
      </c>
    </row>
    <row r="16" ht="14.25">
      <c r="A16" s="10" t="s">
        <v>11</v>
      </c>
      <c r="B16" s="10">
        <v>67100</v>
      </c>
      <c r="C16" s="10">
        <v>55300</v>
      </c>
      <c r="D16" s="10">
        <v>25400</v>
      </c>
      <c r="E16" s="10">
        <v>35600</v>
      </c>
      <c r="F16" s="10">
        <v>75000</v>
      </c>
      <c r="G16" s="5" t="s">
        <v>11</v>
      </c>
      <c r="H16" s="5"/>
    </row>
    <row r="17" ht="14.25">
      <c r="A17" s="10" t="s">
        <v>2</v>
      </c>
      <c r="B17" s="10">
        <v>32600</v>
      </c>
      <c r="C17" s="10">
        <v>27900</v>
      </c>
      <c r="D17" s="10">
        <v>59200</v>
      </c>
      <c r="E17" s="10">
        <v>66400</v>
      </c>
      <c r="F17" s="10">
        <v>36700</v>
      </c>
      <c r="G17" s="16" t="s">
        <v>5</v>
      </c>
      <c r="H17" s="16"/>
    </row>
    <row r="18" ht="14.25">
      <c r="A18" s="10" t="s">
        <v>11</v>
      </c>
      <c r="B18" s="10">
        <v>58500</v>
      </c>
      <c r="C18" s="10">
        <v>45600</v>
      </c>
      <c r="D18" s="10">
        <v>29400</v>
      </c>
      <c r="E18" s="10">
        <v>59600</v>
      </c>
      <c r="F18" s="10">
        <v>38900</v>
      </c>
      <c r="G18" s="17">
        <f>SUMIFS(D3:D22,A3:A22,A6,D3:D22,"&gt;30000",D3:D22,"&lt;70000")</f>
        <v>35300</v>
      </c>
      <c r="H18" s="18"/>
    </row>
    <row r="19" ht="14.25">
      <c r="A19" s="10" t="s">
        <v>9</v>
      </c>
      <c r="B19" s="10">
        <v>20600</v>
      </c>
      <c r="C19" s="10">
        <v>32900</v>
      </c>
      <c r="D19" s="10">
        <v>25300</v>
      </c>
      <c r="E19" s="10">
        <v>78300</v>
      </c>
      <c r="F19" s="10">
        <v>71700</v>
      </c>
      <c r="G19" s="9" t="s">
        <v>12</v>
      </c>
      <c r="H19" s="19" t="s">
        <v>13</v>
      </c>
      <c r="I19" s="9" t="s">
        <v>14</v>
      </c>
      <c r="J19" s="9" t="s">
        <v>15</v>
      </c>
      <c r="K19" s="9" t="s">
        <v>16</v>
      </c>
    </row>
    <row r="20" ht="14.25">
      <c r="A20" s="10" t="s">
        <v>9</v>
      </c>
      <c r="B20" s="10">
        <v>68800</v>
      </c>
      <c r="C20" s="10">
        <v>57600</v>
      </c>
      <c r="D20" s="10">
        <v>61600</v>
      </c>
      <c r="E20" s="10">
        <v>71000</v>
      </c>
      <c r="F20" s="10">
        <v>59800</v>
      </c>
      <c r="G20" s="10">
        <f>COUNTIFS(A3:A22,A3,B3:B22,"&gt;30000")</f>
        <v>5</v>
      </c>
      <c r="H20" s="10">
        <f>COUNTIFS(A3:A22,A3,E3:E22,"&gt;40000")</f>
        <v>4</v>
      </c>
      <c r="I20" s="10">
        <f>COUNTIFS(A3:A22,A5,C3:C22,"&gt;50000")</f>
        <v>4</v>
      </c>
      <c r="J20" s="10">
        <f>COUNTIFS(A3:A22,A3,F3:F22,"&gt;60000")</f>
        <v>3</v>
      </c>
      <c r="K20" s="10">
        <f>COUNTIFS(A3:A22,A6,D3:D22,"&gt;35000")</f>
        <v>3</v>
      </c>
    </row>
    <row r="21" ht="14.25">
      <c r="A21" s="10" t="s">
        <v>2</v>
      </c>
      <c r="B21" s="10">
        <v>45000</v>
      </c>
      <c r="C21" s="10">
        <v>20300</v>
      </c>
      <c r="D21" s="10">
        <v>76700</v>
      </c>
      <c r="E21" s="10">
        <v>48100</v>
      </c>
      <c r="F21" s="10">
        <v>37100</v>
      </c>
      <c r="G21" s="8" t="s">
        <v>3</v>
      </c>
      <c r="H21" s="8" t="s">
        <v>4</v>
      </c>
      <c r="I21" s="8" t="s">
        <v>5</v>
      </c>
      <c r="J21" s="8" t="s">
        <v>6</v>
      </c>
      <c r="K21" s="8" t="s">
        <v>7</v>
      </c>
    </row>
    <row r="22" ht="14.25">
      <c r="A22" s="10" t="s">
        <v>2</v>
      </c>
      <c r="B22" s="10">
        <v>20600</v>
      </c>
      <c r="C22" s="10">
        <v>20500</v>
      </c>
      <c r="D22" s="10">
        <v>71100</v>
      </c>
      <c r="E22" s="10">
        <v>22100</v>
      </c>
      <c r="F22" s="10">
        <v>78500</v>
      </c>
      <c r="G22" s="10">
        <f>COUNTIFS(B3:B22,"&gt;50000")</f>
        <v>7</v>
      </c>
      <c r="H22" s="10">
        <f>COUNTIFS(C3:C22,"&gt;40000")</f>
        <v>11</v>
      </c>
      <c r="I22" s="10">
        <f>COUNTIF(D3:D22,"&gt;60000")</f>
        <v>7</v>
      </c>
      <c r="J22" s="10">
        <f>COUNTIFS(E3:E22,"&gt;30000")</f>
        <v>15</v>
      </c>
      <c r="K22" s="10">
        <f>COUNTIFS(F3:F22,"&gt;70000")</f>
        <v>8</v>
      </c>
    </row>
    <row r="23" ht="14.25">
      <c r="A23" s="9" t="s">
        <v>17</v>
      </c>
      <c r="B23" s="9" t="s">
        <v>18</v>
      </c>
      <c r="C23" s="19" t="s">
        <v>19</v>
      </c>
      <c r="D23" s="19" t="s">
        <v>20</v>
      </c>
      <c r="E23" s="19" t="s">
        <v>16</v>
      </c>
    </row>
    <row r="24" ht="14.25">
      <c r="A24" s="20">
        <f>AVERAGEIFS(B3:B22,A3:A22,A4)</f>
        <v>42257.142857142855</v>
      </c>
      <c r="B24" s="20">
        <f>AVERAGEIFS(E3:E22,A3:A22,A4)</f>
        <v>52214.285714285717</v>
      </c>
      <c r="C24" s="20">
        <f>AVERAGEIFS(C3:C22,A3:A22,A21)</f>
        <v>33857.142857142855</v>
      </c>
      <c r="D24" s="20">
        <f>AVERAGEIFS(F3:F22,A3:A22,A3)</f>
        <v>53100</v>
      </c>
      <c r="E24" s="20">
        <f>AVERAGEIFS(D3:D22,A3:A22,A6)</f>
        <v>43183.333333333336</v>
      </c>
    </row>
    <row r="25" ht="14.25">
      <c r="A25" s="21" t="s">
        <v>21</v>
      </c>
      <c r="B25" s="21" t="s">
        <v>22</v>
      </c>
      <c r="C25" s="21" t="s">
        <v>23</v>
      </c>
      <c r="D25" s="21" t="s">
        <v>24</v>
      </c>
      <c r="E25" s="21" t="s">
        <v>25</v>
      </c>
    </row>
    <row r="26" ht="14.25">
      <c r="A26" s="20">
        <f>AVERAGEIFS(B3:B22,A3:A22,A4,B3:B22,"&gt;40000")</f>
        <v>64900</v>
      </c>
      <c r="B26" s="20">
        <f>AVERAGEIFS(C3:C22,A3:A22,A3,C3:C22,"&gt;30000")</f>
        <v>46266.666666666664</v>
      </c>
      <c r="C26" s="20">
        <f>AVERAGEIFS(D3:D22,A3:A22,A8,D3:D22,"&gt;30000")</f>
        <v>60000</v>
      </c>
      <c r="D26" s="20">
        <f>AVERAGEIFS(E3:E22,A3:A22,A4,E3:E22,"&gt;25000")</f>
        <v>56816.666666666664</v>
      </c>
      <c r="E26" s="20">
        <f>AVERAGEIFS(F3:F22,A3:A22,A3,F3:F22,"&gt;40000")</f>
        <v>69325</v>
      </c>
    </row>
  </sheetData>
  <mergeCells count="10">
    <mergeCell ref="A1:A2"/>
    <mergeCell ref="B1:F1"/>
    <mergeCell ref="G1:J1"/>
    <mergeCell ref="G4:I4"/>
    <mergeCell ref="G7:I7"/>
    <mergeCell ref="G10:H10"/>
    <mergeCell ref="G13:H13"/>
    <mergeCell ref="G16:H16"/>
    <mergeCell ref="G17:H17"/>
    <mergeCell ref="G18:H1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2026-03-05T11:17:07Z</dcterms:modified>
</cp:coreProperties>
</file>