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Homework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<sst xmlns="http://schemas.openxmlformats.org/spreadsheetml/2006/main" count="273" uniqueCount="273">
  <si>
    <t xml:space="preserve">SKU Code</t>
  </si>
  <si>
    <t xml:space="preserve">LEFT Example</t>
  </si>
  <si>
    <t xml:space="preserve">MID Example</t>
  </si>
  <si>
    <t xml:space="preserve">RIGHT Example</t>
  </si>
  <si>
    <t>PRD-3666-DE</t>
  </si>
  <si>
    <t>PRD-9165-KZ</t>
  </si>
  <si>
    <t>PRD-9342-DE</t>
  </si>
  <si>
    <t>PRD-9420-KZ</t>
  </si>
  <si>
    <t>PRD-2689-DE</t>
  </si>
  <si>
    <t>PRD-9911-TR</t>
  </si>
  <si>
    <t>PRD-7277-DE</t>
  </si>
  <si>
    <t>PRD-9204-UZ</t>
  </si>
  <si>
    <t>PRD-5591-DE</t>
  </si>
  <si>
    <t>PRD-5991-KZ</t>
  </si>
  <si>
    <t>PRD-1064-AE</t>
  </si>
  <si>
    <t>PRD-2661-KZ</t>
  </si>
  <si>
    <t>PRD-2726-KZ</t>
  </si>
  <si>
    <t>PRD-5698-TR</t>
  </si>
  <si>
    <t>PRD-8631-UZ</t>
  </si>
  <si>
    <t>PRD-7604-TR</t>
  </si>
  <si>
    <t>PRD-1154-UZ</t>
  </si>
  <si>
    <t>PRD-9725-DE</t>
  </si>
  <si>
    <t>PRD-5908-KZ</t>
  </si>
  <si>
    <t>PRD-1569-KZ</t>
  </si>
  <si>
    <t>PRD-5201-AE</t>
  </si>
  <si>
    <t>PRD-7240-DE</t>
  </si>
  <si>
    <t>PRD-8002-UZ</t>
  </si>
  <si>
    <t>PRD-2335-AE</t>
  </si>
  <si>
    <t>PRD-1529-DE</t>
  </si>
  <si>
    <t>PRD-1600-KZ</t>
  </si>
  <si>
    <t xml:space="preserve">Dirty Text</t>
  </si>
  <si>
    <t xml:space="preserve">TRIM Result</t>
  </si>
  <si>
    <t>Length</t>
  </si>
  <si>
    <t xml:space="preserve">   BMW CLS   </t>
  </si>
  <si>
    <t xml:space="preserve">   Mercedes Elantra   </t>
  </si>
  <si>
    <t xml:space="preserve">   Toyota Elantra   </t>
  </si>
  <si>
    <t xml:space="preserve">   Hyundai Camry   </t>
  </si>
  <si>
    <t xml:space="preserve">   Audi Elantra   </t>
  </si>
  <si>
    <t xml:space="preserve">   Nissan Camry   </t>
  </si>
  <si>
    <t xml:space="preserve">   Toyota X-Trail   </t>
  </si>
  <si>
    <t xml:space="preserve">   KIA A6   </t>
  </si>
  <si>
    <t xml:space="preserve">   Audi A6   </t>
  </si>
  <si>
    <t xml:space="preserve">   KIA X-Trail   </t>
  </si>
  <si>
    <t xml:space="preserve">   Chevrolet Cobalt   </t>
  </si>
  <si>
    <t xml:space="preserve">   Mercedes X5   </t>
  </si>
  <si>
    <t xml:space="preserve">   Audi CLS   </t>
  </si>
  <si>
    <t xml:space="preserve">   BMW Cobalt   </t>
  </si>
  <si>
    <t xml:space="preserve">   KIA Cobalt   </t>
  </si>
  <si>
    <t xml:space="preserve">   KIA Sportage   </t>
  </si>
  <si>
    <t xml:space="preserve">   BMW Elantra   </t>
  </si>
  <si>
    <t xml:space="preserve">   Chevrolet A6   </t>
  </si>
  <si>
    <t xml:space="preserve">   Chevrolet X-Trail   </t>
  </si>
  <si>
    <t xml:space="preserve">Original Text</t>
  </si>
  <si>
    <t>UPPER</t>
  </si>
  <si>
    <t>LOWER</t>
  </si>
  <si>
    <t>PROPER</t>
  </si>
  <si>
    <t xml:space="preserve">hyundai sportage</t>
  </si>
  <si>
    <t xml:space="preserve">nissan x5</t>
  </si>
  <si>
    <t xml:space="preserve">bmw x5</t>
  </si>
  <si>
    <t xml:space="preserve">audi x-trail</t>
  </si>
  <si>
    <t xml:space="preserve">bmw cobalt</t>
  </si>
  <si>
    <t xml:space="preserve">nissan elantra</t>
  </si>
  <si>
    <t xml:space="preserve">kia cobalt</t>
  </si>
  <si>
    <t xml:space="preserve">hyundai x5</t>
  </si>
  <si>
    <t xml:space="preserve">hyundai cls</t>
  </si>
  <si>
    <t xml:space="preserve">audi a6</t>
  </si>
  <si>
    <t xml:space="preserve">mercedes x-trail</t>
  </si>
  <si>
    <t xml:space="preserve">nissan camry</t>
  </si>
  <si>
    <t xml:space="preserve">toyota a6</t>
  </si>
  <si>
    <t xml:space="preserve">hyundai cobalt</t>
  </si>
  <si>
    <t xml:space="preserve">chevrolet cobalt</t>
  </si>
  <si>
    <t xml:space="preserve">audi sportage</t>
  </si>
  <si>
    <t xml:space="preserve">bmw x-trail</t>
  </si>
  <si>
    <t xml:space="preserve">mercedes x5</t>
  </si>
  <si>
    <t xml:space="preserve">Phone Number</t>
  </si>
  <si>
    <t xml:space="preserve">Country Code</t>
  </si>
  <si>
    <t>Operator</t>
  </si>
  <si>
    <t>Subscriber</t>
  </si>
  <si>
    <t>+998987260550</t>
  </si>
  <si>
    <t>+998917549604</t>
  </si>
  <si>
    <t>+998935210743</t>
  </si>
  <si>
    <t>+998978056642</t>
  </si>
  <si>
    <t>+998910154660</t>
  </si>
  <si>
    <t>+998937142313</t>
  </si>
  <si>
    <t>+998949216479</t>
  </si>
  <si>
    <t>+998941067215</t>
  </si>
  <si>
    <t>+998987221739</t>
  </si>
  <si>
    <t>+998957321192</t>
  </si>
  <si>
    <t>+998993339466</t>
  </si>
  <si>
    <t>+998910358306</t>
  </si>
  <si>
    <t>+998953105042</t>
  </si>
  <si>
    <t>+998943340080</t>
  </si>
  <si>
    <t>+998997739638</t>
  </si>
  <si>
    <t>+998998873101</t>
  </si>
  <si>
    <t>+998995629748</t>
  </si>
  <si>
    <t>+998998855883</t>
  </si>
  <si>
    <t>+998999916549</t>
  </si>
  <si>
    <t>+998902292641</t>
  </si>
  <si>
    <t>+998978663890</t>
  </si>
  <si>
    <t>+998986535094</t>
  </si>
  <si>
    <t>+998930346264</t>
  </si>
  <si>
    <t>+998911194507</t>
  </si>
  <si>
    <t>+998993967143</t>
  </si>
  <si>
    <t xml:space="preserve">Product Code</t>
  </si>
  <si>
    <t>Brand</t>
  </si>
  <si>
    <t xml:space="preserve">Model Code</t>
  </si>
  <si>
    <t>ID</t>
  </si>
  <si>
    <t>BMW-CO-7587</t>
  </si>
  <si>
    <t>HYU-CL-7604</t>
  </si>
  <si>
    <t>BMW-A6-9997</t>
  </si>
  <si>
    <t>KIA-SP-7105</t>
  </si>
  <si>
    <t>MER-X--1478</t>
  </si>
  <si>
    <t>BMW-X--9699</t>
  </si>
  <si>
    <t>HYU-EL-6294</t>
  </si>
  <si>
    <t>BMW-A6-6855</t>
  </si>
  <si>
    <t>HYU-CO-7708</t>
  </si>
  <si>
    <t>CHE-EL-4309</t>
  </si>
  <si>
    <t>TOY-CA-6587</t>
  </si>
  <si>
    <t>TOY-A6-6050</t>
  </si>
  <si>
    <t>CHE-CA-6971</t>
  </si>
  <si>
    <t>CHE-A6-7150</t>
  </si>
  <si>
    <t>AUD-CA-6556</t>
  </si>
  <si>
    <t>TOY-CO-9323</t>
  </si>
  <si>
    <t>AUD-A6-4109</t>
  </si>
  <si>
    <t>KIA-X5-4969</t>
  </si>
  <si>
    <t>NIS-SP-9204</t>
  </si>
  <si>
    <t>MER-CO-2656</t>
  </si>
  <si>
    <t>MER-EL-6210</t>
  </si>
  <si>
    <t>TOY-A6-2825</t>
  </si>
  <si>
    <t>CHE-X5-3441</t>
  </si>
  <si>
    <t>CHE-CO-7694</t>
  </si>
  <si>
    <t>BMW-CL-1454</t>
  </si>
  <si>
    <t xml:space="preserve">Mijoz kodi</t>
  </si>
  <si>
    <t xml:space="preserve">Ism Sharif (raw)</t>
  </si>
  <si>
    <t xml:space="preserve">Manzil (raw)</t>
  </si>
  <si>
    <t xml:space="preserve">Shahar (raw)</t>
  </si>
  <si>
    <t xml:space="preserve">Telefon (raw)</t>
  </si>
  <si>
    <t xml:space="preserve">Email (raw)</t>
  </si>
  <si>
    <t xml:space="preserve">Jinsi (raw)</t>
  </si>
  <si>
    <t xml:space="preserve">Status (raw)</t>
  </si>
  <si>
    <t>Qarzdorlik</t>
  </si>
  <si>
    <t xml:space="preserve">Tug'ilgan sana (raw)</t>
  </si>
  <si>
    <t xml:space="preserve">Mijoz turi (raw)</t>
  </si>
  <si>
    <t xml:space="preserve">Karta raqami (raw)</t>
  </si>
  <si>
    <t xml:space="preserve">Ro'yxatdan o'tgan sana (raw)</t>
  </si>
  <si>
    <t xml:space="preserve">Izoh (raw)</t>
  </si>
  <si>
    <t xml:space="preserve">Promo kod (raw)</t>
  </si>
  <si>
    <t xml:space="preserve">Tozalangan Ism</t>
  </si>
  <si>
    <t xml:space="preserve">Tozalangan Manzil</t>
  </si>
  <si>
    <t xml:space="preserve">Shahar Clean</t>
  </si>
  <si>
    <t xml:space="preserve">Telefon Format</t>
  </si>
  <si>
    <t xml:space="preserve">Email lower</t>
  </si>
  <si>
    <t xml:space="preserve">Jinsi Proper</t>
  </si>
  <si>
    <t xml:space="preserve">Status Upper</t>
  </si>
  <si>
    <t xml:space="preserve">Mijoz ID</t>
  </si>
  <si>
    <t xml:space="preserve">Tug'ilgan sana Clean</t>
  </si>
  <si>
    <t xml:space="preserve">Mijoz turi Clean</t>
  </si>
  <si>
    <t xml:space="preserve">Karta raqami Clean</t>
  </si>
  <si>
    <t xml:space="preserve">Ro'yxatdan sana Clean</t>
  </si>
  <si>
    <t xml:space="preserve">Izoh Clean</t>
  </si>
  <si>
    <t xml:space="preserve">Promo kod Upper</t>
  </si>
  <si>
    <t>CUST-001-UZ</t>
  </si>
  <si>
    <t xml:space="preserve">   ABDUlloh   nurmatov </t>
  </si>
  <si>
    <t xml:space="preserve"> chilonzor 12 </t>
  </si>
  <si>
    <t xml:space="preserve"> toshkent </t>
  </si>
  <si>
    <t>ABDUlloh@GMAIL.COM</t>
  </si>
  <si>
    <t>erkak</t>
  </si>
  <si>
    <t xml:space="preserve"> aktiv </t>
  </si>
  <si>
    <t xml:space="preserve"> 1995-05-12 </t>
  </si>
  <si>
    <t xml:space="preserve"> vip </t>
  </si>
  <si>
    <t xml:space="preserve"> 8600 1234 5678 9012 </t>
  </si>
  <si>
    <t xml:space="preserve"> 2023-01-12 </t>
  </si>
  <si>
    <t xml:space="preserve"> yaxshi mijoz </t>
  </si>
  <si>
    <t xml:space="preserve"> sale10 </t>
  </si>
  <si>
    <t>CUST-002-UZ</t>
  </si>
  <si>
    <t xml:space="preserve"> sArvar   karimov </t>
  </si>
  <si>
    <t xml:space="preserve"> yunusobod 45 </t>
  </si>
  <si>
    <t>SARVAR@MAIL.COM</t>
  </si>
  <si>
    <t>ERKAK</t>
  </si>
  <si>
    <t xml:space="preserve"> qarzdor </t>
  </si>
  <si>
    <t xml:space="preserve"> 1998-11-02 </t>
  </si>
  <si>
    <t xml:space="preserve"> oddiy </t>
  </si>
  <si>
    <t xml:space="preserve"> 9860 5555 4444 3333 </t>
  </si>
  <si>
    <t xml:space="preserve"> 2023-02-15 </t>
  </si>
  <si>
    <t xml:space="preserve"> yangi </t>
  </si>
  <si>
    <t xml:space="preserve"> new20 </t>
  </si>
  <si>
    <t>CUST-003-UZ</t>
  </si>
  <si>
    <t xml:space="preserve"> diLshod   rAxmonov </t>
  </si>
  <si>
    <t xml:space="preserve"> registon </t>
  </si>
  <si>
    <t xml:space="preserve"> samarqand </t>
  </si>
  <si>
    <t>CUST-004-UZ</t>
  </si>
  <si>
    <t xml:space="preserve"> jaShoN   abdullaev </t>
  </si>
  <si>
    <t xml:space="preserve"> markaz 22 </t>
  </si>
  <si>
    <t xml:space="preserve"> andijon </t>
  </si>
  <si>
    <t>CUST-005-UZ</t>
  </si>
  <si>
    <t xml:space="preserve"> shOXRUX   yuldashev </t>
  </si>
  <si>
    <t xml:space="preserve"> chortoq 10 </t>
  </si>
  <si>
    <t xml:space="preserve"> namangan </t>
  </si>
  <si>
    <t>CUST-006-UZ</t>
  </si>
  <si>
    <t xml:space="preserve"> akMal   toshpulatov </t>
  </si>
  <si>
    <t xml:space="preserve"> olmazor 8 </t>
  </si>
  <si>
    <t>CUST-007-UZ</t>
  </si>
  <si>
    <t xml:space="preserve"> bekZOD   rustamov </t>
  </si>
  <si>
    <t xml:space="preserve"> urgut 14 </t>
  </si>
  <si>
    <t>CUST-008-UZ</t>
  </si>
  <si>
    <t xml:space="preserve"> muRod   karimov </t>
  </si>
  <si>
    <t xml:space="preserve"> asaka 4 </t>
  </si>
  <si>
    <t>CUST-009-UZ</t>
  </si>
  <si>
    <t xml:space="preserve"> ilHom   rahimov </t>
  </si>
  <si>
    <t xml:space="preserve"> sergeli 6 </t>
  </si>
  <si>
    <t>CUST-010-UZ</t>
  </si>
  <si>
    <t xml:space="preserve"> jasUr   aliyev </t>
  </si>
  <si>
    <t xml:space="preserve"> pop 21 </t>
  </si>
  <si>
    <t>CUST-011-UZ</t>
  </si>
  <si>
    <t xml:space="preserve"> odil   abdullayev </t>
  </si>
  <si>
    <t xml:space="preserve"> yunusobod 19 </t>
  </si>
  <si>
    <t>CUST-012-UZ</t>
  </si>
  <si>
    <t xml:space="preserve"> sarVar   raxmonov </t>
  </si>
  <si>
    <t xml:space="preserve"> payariq 7 </t>
  </si>
  <si>
    <t>CUST-013-UZ</t>
  </si>
  <si>
    <t xml:space="preserve"> abBos   karimov </t>
  </si>
  <si>
    <t xml:space="preserve"> bektemir 2 </t>
  </si>
  <si>
    <t>CUST-014-UZ</t>
  </si>
  <si>
    <t xml:space="preserve"> dilShoD   rustamov </t>
  </si>
  <si>
    <t xml:space="preserve"> baliqchi 18 </t>
  </si>
  <si>
    <t>CUST-015-UZ</t>
  </si>
  <si>
    <t xml:space="preserve"> jaLon   akbarov </t>
  </si>
  <si>
    <t xml:space="preserve"> chilonzor 33 </t>
  </si>
  <si>
    <t>CUST-016-UZ</t>
  </si>
  <si>
    <t xml:space="preserve"> shoDlik   nurmatov </t>
  </si>
  <si>
    <t xml:space="preserve"> mingbuloq 9 </t>
  </si>
  <si>
    <t>CUST-017-UZ</t>
  </si>
  <si>
    <t xml:space="preserve"> abduRaxmon   toirov </t>
  </si>
  <si>
    <t xml:space="preserve"> bulungur 16 </t>
  </si>
  <si>
    <t>CUST-018-UZ</t>
  </si>
  <si>
    <t xml:space="preserve"> jaShoN   alimov </t>
  </si>
  <si>
    <t xml:space="preserve"> uchtepa 44 </t>
  </si>
  <si>
    <t>CUST-019-UZ</t>
  </si>
  <si>
    <t xml:space="preserve"> beKzod   abdullaev </t>
  </si>
  <si>
    <t xml:space="preserve"> mirzo ulugbek 3 </t>
  </si>
  <si>
    <t>CUST-020-UZ</t>
  </si>
  <si>
    <t xml:space="preserve"> ulugBek   soliyev </t>
  </si>
  <si>
    <t xml:space="preserve"> xonobod 12 </t>
  </si>
  <si>
    <t>CUST-021-UZ</t>
  </si>
  <si>
    <t xml:space="preserve"> dilMurOd   akbarov </t>
  </si>
  <si>
    <t xml:space="preserve"> registon 5 </t>
  </si>
  <si>
    <t>CUST-022-UZ</t>
  </si>
  <si>
    <t xml:space="preserve"> azIz   raxmatov </t>
  </si>
  <si>
    <t xml:space="preserve"> chilonzor 77 </t>
  </si>
  <si>
    <t>CUST-023-UZ</t>
  </si>
  <si>
    <t xml:space="preserve"> jaVlon   soliyev </t>
  </si>
  <si>
    <t xml:space="preserve"> sergeli 90 </t>
  </si>
  <si>
    <t>CUST-024-UZ</t>
  </si>
  <si>
    <t xml:space="preserve"> sarDor   karimov </t>
  </si>
  <si>
    <t xml:space="preserve"> uychi 11 </t>
  </si>
  <si>
    <t>CUST-025-UZ</t>
  </si>
  <si>
    <t xml:space="preserve"> komRon   raxmonov </t>
  </si>
  <si>
    <t xml:space="preserve"> olmazor 15 </t>
  </si>
  <si>
    <t>CUST-026-UZ</t>
  </si>
  <si>
    <t xml:space="preserve"> shoDiyOr   akbarov </t>
  </si>
  <si>
    <t xml:space="preserve"> pastdargom 20 </t>
  </si>
  <si>
    <t>CUST-027-UZ</t>
  </si>
  <si>
    <t xml:space="preserve"> jaShoN   raximov </t>
  </si>
  <si>
    <t xml:space="preserve"> shahrixon 6 </t>
  </si>
  <si>
    <t>CUST-028-UZ</t>
  </si>
  <si>
    <t xml:space="preserve"> abduKarim   soliyev </t>
  </si>
  <si>
    <t xml:space="preserve"> yunusobod 1 </t>
  </si>
  <si>
    <t>CUST-029-UZ</t>
  </si>
  <si>
    <t xml:space="preserve"> muHamMad   akbarov </t>
  </si>
  <si>
    <t xml:space="preserve"> chilonzor 55 </t>
  </si>
  <si>
    <t>CUST-030-UZ</t>
  </si>
  <si>
    <t xml:space="preserve"> ilHomjon   raxmonov </t>
  </si>
  <si>
    <t xml:space="preserve"> urgut 100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</si>
</sst>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</patternFill>
    </fill>
    <fill>
      <patternFill patternType="solid">
        <fgColor theme="3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 applyAlignment="1">
      <alignment horizontal="center"/>
    </xf>
    <xf fontId="1" fillId="0" borderId="0" numFmtId="0" xfId="0" applyFont="1"/>
    <xf fontId="0" fillId="0" borderId="1" numFmtId="0" xfId="0" applyBorder="1" applyAlignment="1">
      <alignment horizontal="center"/>
    </xf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0" numFmtId="1" xfId="0" applyNumberFormat="1"/>
    <xf fontId="2" fillId="3" borderId="1" numFmtId="0" xfId="0" applyFont="1" applyFill="1" applyBorder="1" applyAlignment="1">
      <alignment horizontal="center" vertical="center"/>
    </xf>
    <xf fontId="2" fillId="3" borderId="1" numFmtId="1" xfId="0" applyNumberFormat="1" applyFont="1" applyFill="1" applyBorder="1" applyAlignment="1">
      <alignment horizontal="center" vertical="center"/>
    </xf>
    <xf fontId="0" fillId="0" borderId="1" numFmt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140625"/>
    <col bestFit="1" min="2" max="2" width="12.5234375"/>
    <col bestFit="1" min="3" max="3" width="12.33203125"/>
    <col bestFit="1" min="4" max="4" width="14.04296875"/>
    <col bestFit="1" min="6" max="6" width="31.4726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ht="14.25">
      <c r="A2" s="3" t="s">
        <v>4</v>
      </c>
      <c r="B2" s="3" t="str">
        <f t="shared" ref="B2:B9" si="0">LEFT($A2,3)</f>
        <v>PRD</v>
      </c>
      <c r="C2" s="3" t="str">
        <f t="shared" ref="C2:C9" si="1">MID(A2,5,4)</f>
        <v>3666</v>
      </c>
      <c r="D2" s="3" t="str">
        <f t="shared" ref="D2:D9" si="2">RIGHT(A2,2)</f>
        <v>DE</v>
      </c>
      <c r="F2" s="4"/>
    </row>
    <row r="3" ht="14.25">
      <c r="A3" s="3" t="s">
        <v>5</v>
      </c>
      <c r="B3" s="3" t="str">
        <f t="shared" si="0"/>
        <v>PRD</v>
      </c>
      <c r="C3" s="3" t="str">
        <f t="shared" si="1"/>
        <v>9165</v>
      </c>
      <c r="D3" s="3" t="str">
        <f t="shared" si="2"/>
        <v>KZ</v>
      </c>
      <c r="F3" s="4"/>
    </row>
    <row r="4" ht="14.25">
      <c r="A4" s="3" t="s">
        <v>6</v>
      </c>
      <c r="B4" s="3" t="str">
        <f t="shared" si="0"/>
        <v>PRD</v>
      </c>
      <c r="C4" s="3" t="str">
        <f t="shared" si="1"/>
        <v>9342</v>
      </c>
      <c r="D4" s="3" t="str">
        <f t="shared" si="2"/>
        <v>DE</v>
      </c>
      <c r="F4" s="4"/>
    </row>
    <row r="5" ht="14.25">
      <c r="A5" s="3" t="s">
        <v>7</v>
      </c>
      <c r="B5" s="3" t="str">
        <f t="shared" si="0"/>
        <v>PRD</v>
      </c>
      <c r="C5" s="3" t="str">
        <f t="shared" si="1"/>
        <v>9420</v>
      </c>
      <c r="D5" s="3" t="str">
        <f t="shared" si="2"/>
        <v>KZ</v>
      </c>
      <c r="F5" s="4"/>
    </row>
    <row r="6" ht="14.25">
      <c r="A6" s="3" t="s">
        <v>8</v>
      </c>
      <c r="B6" s="3" t="str">
        <f t="shared" si="0"/>
        <v>PRD</v>
      </c>
      <c r="C6" s="3" t="str">
        <f t="shared" si="1"/>
        <v>2689</v>
      </c>
      <c r="D6" s="3" t="str">
        <f t="shared" si="2"/>
        <v>DE</v>
      </c>
    </row>
    <row r="7" ht="14.25">
      <c r="A7" s="3" t="s">
        <v>9</v>
      </c>
      <c r="B7" s="3" t="str">
        <f t="shared" si="0"/>
        <v>PRD</v>
      </c>
      <c r="C7" s="3" t="str">
        <f t="shared" si="1"/>
        <v>9911</v>
      </c>
      <c r="D7" s="3" t="str">
        <f t="shared" si="2"/>
        <v>TR</v>
      </c>
    </row>
    <row r="8" ht="14.25">
      <c r="A8" s="3" t="s">
        <v>10</v>
      </c>
      <c r="B8" s="3" t="str">
        <f t="shared" si="0"/>
        <v>PRD</v>
      </c>
      <c r="C8" s="3" t="str">
        <f t="shared" si="1"/>
        <v>7277</v>
      </c>
      <c r="D8" s="3" t="str">
        <f t="shared" si="2"/>
        <v>DE</v>
      </c>
    </row>
    <row r="9" ht="14.25">
      <c r="A9" s="3" t="s">
        <v>11</v>
      </c>
      <c r="B9" s="3" t="str">
        <f t="shared" si="0"/>
        <v>PRD</v>
      </c>
      <c r="C9" s="3" t="str">
        <f t="shared" si="1"/>
        <v>9204</v>
      </c>
      <c r="D9" s="3" t="str">
        <f t="shared" si="2"/>
        <v>UZ</v>
      </c>
    </row>
    <row r="10" ht="14.25">
      <c r="A10" s="3" t="s">
        <v>12</v>
      </c>
      <c r="B10" s="3" t="str">
        <f t="shared" ref="B10:B27" si="3">LEFT($A10,3)</f>
        <v>PRD</v>
      </c>
      <c r="C10" s="3" t="str">
        <f t="shared" ref="C10:C27" si="4">MID(A10,5,4)</f>
        <v>5591</v>
      </c>
      <c r="D10" s="3" t="str">
        <f t="shared" ref="D10:D27" si="5">RIGHT(A10,2)</f>
        <v>DE</v>
      </c>
    </row>
    <row r="11" ht="14.25">
      <c r="A11" s="3" t="s">
        <v>13</v>
      </c>
      <c r="B11" s="3" t="str">
        <f t="shared" si="3"/>
        <v>PRD</v>
      </c>
      <c r="C11" s="3" t="str">
        <f t="shared" si="4"/>
        <v>5991</v>
      </c>
      <c r="D11" s="3" t="str">
        <f t="shared" si="5"/>
        <v>KZ</v>
      </c>
    </row>
    <row r="12" ht="14.25">
      <c r="A12" s="3" t="s">
        <v>14</v>
      </c>
      <c r="B12" s="3" t="str">
        <f t="shared" si="3"/>
        <v>PRD</v>
      </c>
      <c r="C12" s="3" t="str">
        <f t="shared" si="4"/>
        <v>1064</v>
      </c>
      <c r="D12" s="3" t="str">
        <f t="shared" si="5"/>
        <v>AE</v>
      </c>
    </row>
    <row r="13" ht="14.25">
      <c r="A13" s="3" t="s">
        <v>15</v>
      </c>
      <c r="B13" s="3" t="str">
        <f t="shared" si="3"/>
        <v>PRD</v>
      </c>
      <c r="C13" s="3" t="str">
        <f t="shared" si="4"/>
        <v>2661</v>
      </c>
      <c r="D13" s="3" t="str">
        <f t="shared" si="5"/>
        <v>KZ</v>
      </c>
    </row>
    <row r="14" ht="14.25">
      <c r="A14" s="3" t="s">
        <v>16</v>
      </c>
      <c r="B14" s="3" t="str">
        <f t="shared" si="3"/>
        <v>PRD</v>
      </c>
      <c r="C14" s="3" t="str">
        <f t="shared" si="4"/>
        <v>2726</v>
      </c>
      <c r="D14" s="3" t="str">
        <f t="shared" si="5"/>
        <v>KZ</v>
      </c>
    </row>
    <row r="15" ht="14.25">
      <c r="A15" s="3" t="s">
        <v>17</v>
      </c>
      <c r="B15" s="3" t="str">
        <f t="shared" si="3"/>
        <v>PRD</v>
      </c>
      <c r="C15" s="3" t="str">
        <f t="shared" si="4"/>
        <v>5698</v>
      </c>
      <c r="D15" s="3" t="str">
        <f t="shared" si="5"/>
        <v>TR</v>
      </c>
    </row>
    <row r="16" ht="14.25">
      <c r="A16" s="3" t="s">
        <v>18</v>
      </c>
      <c r="B16" s="3" t="str">
        <f t="shared" si="3"/>
        <v>PRD</v>
      </c>
      <c r="C16" s="3" t="str">
        <f t="shared" si="4"/>
        <v>8631</v>
      </c>
      <c r="D16" s="3" t="str">
        <f t="shared" si="5"/>
        <v>UZ</v>
      </c>
    </row>
    <row r="17" ht="14.25">
      <c r="A17" s="3" t="s">
        <v>19</v>
      </c>
      <c r="B17" s="3" t="str">
        <f t="shared" si="3"/>
        <v>PRD</v>
      </c>
      <c r="C17" s="3" t="str">
        <f t="shared" si="4"/>
        <v>7604</v>
      </c>
      <c r="D17" s="3" t="str">
        <f t="shared" si="5"/>
        <v>TR</v>
      </c>
    </row>
    <row r="18" ht="14.25">
      <c r="A18" s="3" t="s">
        <v>20</v>
      </c>
      <c r="B18" s="3" t="str">
        <f t="shared" si="3"/>
        <v>PRD</v>
      </c>
      <c r="C18" s="3" t="str">
        <f t="shared" si="4"/>
        <v>1154</v>
      </c>
      <c r="D18" s="3" t="str">
        <f t="shared" si="5"/>
        <v>UZ</v>
      </c>
    </row>
    <row r="19" ht="14.25">
      <c r="A19" s="3" t="s">
        <v>21</v>
      </c>
      <c r="B19" s="3" t="str">
        <f t="shared" si="3"/>
        <v>PRD</v>
      </c>
      <c r="C19" s="3" t="str">
        <f t="shared" si="4"/>
        <v>9725</v>
      </c>
      <c r="D19" s="3" t="str">
        <f t="shared" si="5"/>
        <v>DE</v>
      </c>
    </row>
    <row r="20" ht="14.25">
      <c r="A20" s="3" t="s">
        <v>22</v>
      </c>
      <c r="B20" s="3" t="str">
        <f t="shared" si="3"/>
        <v>PRD</v>
      </c>
      <c r="C20" s="3" t="str">
        <f t="shared" si="4"/>
        <v>5908</v>
      </c>
      <c r="D20" s="3" t="str">
        <f t="shared" si="5"/>
        <v>KZ</v>
      </c>
    </row>
    <row r="21" ht="14.25">
      <c r="A21" s="3" t="s">
        <v>23</v>
      </c>
      <c r="B21" s="3" t="str">
        <f t="shared" si="3"/>
        <v>PRD</v>
      </c>
      <c r="C21" s="3" t="str">
        <f t="shared" si="4"/>
        <v>1569</v>
      </c>
      <c r="D21" s="3" t="str">
        <f t="shared" si="5"/>
        <v>KZ</v>
      </c>
    </row>
    <row r="22" ht="14.25">
      <c r="A22" s="3" t="s">
        <v>24</v>
      </c>
      <c r="B22" s="3" t="str">
        <f t="shared" si="3"/>
        <v>PRD</v>
      </c>
      <c r="C22" s="3" t="str">
        <f t="shared" si="4"/>
        <v>5201</v>
      </c>
      <c r="D22" s="3" t="str">
        <f t="shared" si="5"/>
        <v>AE</v>
      </c>
    </row>
    <row r="23" ht="14.25">
      <c r="A23" s="3" t="s">
        <v>25</v>
      </c>
      <c r="B23" s="3" t="str">
        <f t="shared" si="3"/>
        <v>PRD</v>
      </c>
      <c r="C23" s="3" t="str">
        <f t="shared" si="4"/>
        <v>7240</v>
      </c>
      <c r="D23" s="3" t="str">
        <f t="shared" si="5"/>
        <v>DE</v>
      </c>
    </row>
    <row r="24" ht="14.25">
      <c r="A24" s="3" t="s">
        <v>26</v>
      </c>
      <c r="B24" s="3" t="str">
        <f t="shared" si="3"/>
        <v>PRD</v>
      </c>
      <c r="C24" s="3" t="str">
        <f t="shared" si="4"/>
        <v>8002</v>
      </c>
      <c r="D24" s="3" t="str">
        <f t="shared" si="5"/>
        <v>UZ</v>
      </c>
    </row>
    <row r="25" ht="14.25">
      <c r="A25" s="3" t="s">
        <v>27</v>
      </c>
      <c r="B25" s="3" t="str">
        <f t="shared" si="3"/>
        <v>PRD</v>
      </c>
      <c r="C25" s="3" t="str">
        <f t="shared" si="4"/>
        <v>2335</v>
      </c>
      <c r="D25" s="3" t="str">
        <f t="shared" si="5"/>
        <v>AE</v>
      </c>
    </row>
    <row r="26" ht="14.25">
      <c r="A26" s="3" t="s">
        <v>28</v>
      </c>
      <c r="B26" s="3" t="str">
        <f t="shared" si="3"/>
        <v>PRD</v>
      </c>
      <c r="C26" s="3" t="str">
        <f t="shared" si="4"/>
        <v>1529</v>
      </c>
      <c r="D26" s="3" t="str">
        <f t="shared" si="5"/>
        <v>DE</v>
      </c>
    </row>
    <row r="27" ht="14.25">
      <c r="A27" s="3" t="s">
        <v>29</v>
      </c>
      <c r="B27" s="3" t="str">
        <f t="shared" si="3"/>
        <v>PRD</v>
      </c>
      <c r="C27" s="3" t="str">
        <f t="shared" si="4"/>
        <v>1600</v>
      </c>
      <c r="D27" s="3" t="str">
        <f t="shared" si="5"/>
        <v>KZ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A1" activeCellId="0" sqref="A1"/>
    </sheetView>
  </sheetViews>
  <sheetFormatPr defaultRowHeight="15"/>
  <cols>
    <col bestFit="1" min="1" max="1" width="18.8125"/>
    <col bestFit="1" min="2" max="2" width="15.953125"/>
  </cols>
  <sheetData>
    <row r="1">
      <c r="A1" s="5" t="s">
        <v>30</v>
      </c>
      <c r="B1" s="5" t="s">
        <v>31</v>
      </c>
      <c r="C1" s="5" t="s">
        <v>32</v>
      </c>
    </row>
    <row r="2">
      <c r="A2" s="6" t="s">
        <v>33</v>
      </c>
      <c r="B2" s="6" t="str">
        <f t="shared" ref="B2:B9" si="6">TRIM(A2)</f>
        <v xml:space="preserve">BMW CLS</v>
      </c>
      <c r="C2" s="6">
        <f t="shared" ref="C2:C9" si="7">LEN(B2)</f>
        <v>7</v>
      </c>
    </row>
    <row r="3">
      <c r="A3" s="6" t="s">
        <v>34</v>
      </c>
      <c r="B3" s="6" t="str">
        <f t="shared" si="6"/>
        <v xml:space="preserve">Mercedes Elantra</v>
      </c>
      <c r="C3" s="6">
        <f t="shared" si="7"/>
        <v>16</v>
      </c>
    </row>
    <row r="4">
      <c r="A4" s="6" t="s">
        <v>35</v>
      </c>
      <c r="B4" s="6" t="str">
        <f t="shared" si="6"/>
        <v xml:space="preserve">Toyota Elantra</v>
      </c>
      <c r="C4" s="6">
        <f t="shared" si="7"/>
        <v>14</v>
      </c>
    </row>
    <row r="5">
      <c r="A5" s="6" t="s">
        <v>36</v>
      </c>
      <c r="B5" s="6" t="str">
        <f t="shared" si="6"/>
        <v xml:space="preserve">Hyundai Camry</v>
      </c>
      <c r="C5" s="6">
        <f t="shared" si="7"/>
        <v>13</v>
      </c>
    </row>
    <row r="6">
      <c r="A6" s="6" t="s">
        <v>37</v>
      </c>
      <c r="B6" s="6" t="str">
        <f t="shared" si="6"/>
        <v xml:space="preserve">Audi Elantra</v>
      </c>
      <c r="C6" s="6">
        <f t="shared" si="7"/>
        <v>12</v>
      </c>
    </row>
    <row r="7">
      <c r="A7" s="6" t="s">
        <v>38</v>
      </c>
      <c r="B7" s="6" t="str">
        <f t="shared" si="6"/>
        <v xml:space="preserve">Nissan Camry</v>
      </c>
      <c r="C7" s="6">
        <f t="shared" si="7"/>
        <v>12</v>
      </c>
    </row>
    <row r="8">
      <c r="A8" s="6" t="s">
        <v>39</v>
      </c>
      <c r="B8" s="6" t="str">
        <f t="shared" si="6"/>
        <v xml:space="preserve">Toyota X-Trail</v>
      </c>
      <c r="C8" s="6">
        <f t="shared" si="7"/>
        <v>14</v>
      </c>
    </row>
    <row r="9">
      <c r="A9" s="6" t="s">
        <v>36</v>
      </c>
      <c r="B9" s="6" t="str">
        <f t="shared" si="6"/>
        <v xml:space="preserve">Hyundai Camry</v>
      </c>
      <c r="C9" s="6">
        <f t="shared" si="7"/>
        <v>13</v>
      </c>
    </row>
    <row r="10">
      <c r="A10" s="6" t="s">
        <v>39</v>
      </c>
      <c r="B10" s="6" t="str">
        <f t="shared" ref="B10:B26" si="8">TRIM(A10)</f>
        <v xml:space="preserve">Toyota X-Trail</v>
      </c>
      <c r="C10" s="6">
        <f t="shared" ref="C10:C26" si="9">LEN(B10)</f>
        <v>14</v>
      </c>
    </row>
    <row r="11">
      <c r="A11" s="6" t="s">
        <v>40</v>
      </c>
      <c r="B11" s="6" t="str">
        <f t="shared" si="8"/>
        <v xml:space="preserve">KIA A6</v>
      </c>
      <c r="C11" s="6">
        <f t="shared" si="9"/>
        <v>6</v>
      </c>
    </row>
    <row r="12">
      <c r="A12" s="6" t="s">
        <v>35</v>
      </c>
      <c r="B12" s="6" t="str">
        <f t="shared" si="8"/>
        <v xml:space="preserve">Toyota Elantra</v>
      </c>
      <c r="C12" s="6">
        <f t="shared" si="9"/>
        <v>14</v>
      </c>
    </row>
    <row r="13">
      <c r="A13" s="6" t="s">
        <v>39</v>
      </c>
      <c r="B13" s="6" t="str">
        <f t="shared" si="8"/>
        <v xml:space="preserve">Toyota X-Trail</v>
      </c>
      <c r="C13" s="6">
        <f t="shared" si="9"/>
        <v>14</v>
      </c>
    </row>
    <row r="14">
      <c r="A14" s="6" t="s">
        <v>39</v>
      </c>
      <c r="B14" s="6" t="str">
        <f t="shared" si="8"/>
        <v xml:space="preserve">Toyota X-Trail</v>
      </c>
      <c r="C14" s="6">
        <f t="shared" si="9"/>
        <v>14</v>
      </c>
    </row>
    <row r="15">
      <c r="A15" s="6" t="s">
        <v>41</v>
      </c>
      <c r="B15" s="6" t="str">
        <f t="shared" si="8"/>
        <v xml:space="preserve">Audi A6</v>
      </c>
      <c r="C15" s="6">
        <f t="shared" si="9"/>
        <v>7</v>
      </c>
    </row>
    <row r="16">
      <c r="A16" s="6" t="s">
        <v>42</v>
      </c>
      <c r="B16" s="6" t="str">
        <f t="shared" si="8"/>
        <v xml:space="preserve">KIA X-Trail</v>
      </c>
      <c r="C16" s="6">
        <f t="shared" si="9"/>
        <v>11</v>
      </c>
    </row>
    <row r="17">
      <c r="A17" s="6" t="s">
        <v>43</v>
      </c>
      <c r="B17" s="6" t="str">
        <f t="shared" si="8"/>
        <v xml:space="preserve">Chevrolet Cobalt</v>
      </c>
      <c r="C17" s="6">
        <f t="shared" si="9"/>
        <v>16</v>
      </c>
    </row>
    <row r="18">
      <c r="A18" s="6" t="s">
        <v>44</v>
      </c>
      <c r="B18" s="6" t="str">
        <f t="shared" si="8"/>
        <v xml:space="preserve">Mercedes X5</v>
      </c>
      <c r="C18" s="6">
        <f t="shared" si="9"/>
        <v>11</v>
      </c>
    </row>
    <row r="19">
      <c r="A19" s="6" t="s">
        <v>45</v>
      </c>
      <c r="B19" s="6" t="str">
        <f t="shared" si="8"/>
        <v xml:space="preserve">Audi CLS</v>
      </c>
      <c r="C19" s="6">
        <f t="shared" si="9"/>
        <v>8</v>
      </c>
    </row>
    <row r="20">
      <c r="A20" s="6" t="s">
        <v>46</v>
      </c>
      <c r="B20" s="6" t="str">
        <f t="shared" si="8"/>
        <v xml:space="preserve">BMW Cobalt</v>
      </c>
      <c r="C20" s="6">
        <f t="shared" si="9"/>
        <v>10</v>
      </c>
    </row>
    <row r="21">
      <c r="A21" s="6" t="s">
        <v>42</v>
      </c>
      <c r="B21" s="6" t="str">
        <f t="shared" si="8"/>
        <v xml:space="preserve">KIA X-Trail</v>
      </c>
      <c r="C21" s="6">
        <f t="shared" si="9"/>
        <v>11</v>
      </c>
    </row>
    <row r="22">
      <c r="A22" s="6" t="s">
        <v>47</v>
      </c>
      <c r="B22" s="6" t="str">
        <f t="shared" si="8"/>
        <v xml:space="preserve">KIA Cobalt</v>
      </c>
      <c r="C22" s="6">
        <f t="shared" si="9"/>
        <v>10</v>
      </c>
    </row>
    <row r="23">
      <c r="A23" s="6" t="s">
        <v>48</v>
      </c>
      <c r="B23" s="6" t="str">
        <f t="shared" si="8"/>
        <v xml:space="preserve">KIA Sportage</v>
      </c>
      <c r="C23" s="6">
        <f t="shared" si="9"/>
        <v>12</v>
      </c>
    </row>
    <row r="24">
      <c r="A24" s="6" t="s">
        <v>49</v>
      </c>
      <c r="B24" s="6" t="str">
        <f t="shared" si="8"/>
        <v xml:space="preserve">BMW Elantra</v>
      </c>
      <c r="C24" s="6">
        <f t="shared" si="9"/>
        <v>11</v>
      </c>
    </row>
    <row r="25">
      <c r="A25" s="6" t="s">
        <v>50</v>
      </c>
      <c r="B25" s="6" t="str">
        <f t="shared" si="8"/>
        <v xml:space="preserve">Chevrolet A6</v>
      </c>
      <c r="C25" s="6">
        <f t="shared" si="9"/>
        <v>12</v>
      </c>
    </row>
    <row r="26">
      <c r="A26" s="6" t="s">
        <v>51</v>
      </c>
      <c r="B26" s="6" t="str">
        <f t="shared" si="8"/>
        <v xml:space="preserve">Chevrolet X-Trail</v>
      </c>
      <c r="C26" s="6">
        <f t="shared" si="9"/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="100" workbookViewId="0">
      <selection activeCell="A1" activeCellId="0" sqref="A1"/>
    </sheetView>
  </sheetViews>
  <sheetFormatPr defaultRowHeight="15"/>
  <cols>
    <col bestFit="1" min="1" max="1" width="15.8515625"/>
    <col bestFit="1" min="2" max="3" width="18.61328125"/>
    <col bestFit="1" min="4" max="4" width="16.140625"/>
  </cols>
  <sheetData>
    <row r="1">
      <c r="A1" s="5" t="s">
        <v>52</v>
      </c>
      <c r="B1" s="5" t="s">
        <v>53</v>
      </c>
      <c r="C1" s="5" t="s">
        <v>54</v>
      </c>
      <c r="D1" s="5" t="s">
        <v>55</v>
      </c>
    </row>
    <row r="2">
      <c r="A2" s="6" t="s">
        <v>56</v>
      </c>
      <c r="B2" s="6" t="str">
        <f t="shared" ref="B2:B9" si="10">UPPER(A2)</f>
        <v xml:space="preserve">HYUNDAI SPORTAGE</v>
      </c>
      <c r="C2" s="6" t="str">
        <f t="shared" ref="C2:C9" si="11">UPPER(A2)</f>
        <v xml:space="preserve">HYUNDAI SPORTAGE</v>
      </c>
      <c r="D2" s="6" t="str">
        <f t="shared" ref="D2:D9" si="12">PROPER(C2)</f>
        <v xml:space="preserve">Hyundai Sportage</v>
      </c>
    </row>
    <row r="3">
      <c r="A3" s="6" t="s">
        <v>57</v>
      </c>
      <c r="B3" s="6" t="str">
        <f t="shared" si="10"/>
        <v xml:space="preserve">NISSAN X5</v>
      </c>
      <c r="C3" s="6" t="str">
        <f t="shared" si="11"/>
        <v xml:space="preserve">NISSAN X5</v>
      </c>
      <c r="D3" s="6" t="str">
        <f t="shared" si="12"/>
        <v xml:space="preserve">Nissan X5</v>
      </c>
    </row>
    <row r="4">
      <c r="A4" s="6" t="s">
        <v>58</v>
      </c>
      <c r="B4" s="6" t="str">
        <f t="shared" si="10"/>
        <v xml:space="preserve">BMW X5</v>
      </c>
      <c r="C4" s="6" t="str">
        <f t="shared" si="11"/>
        <v xml:space="preserve">BMW X5</v>
      </c>
      <c r="D4" s="6" t="str">
        <f t="shared" si="12"/>
        <v xml:space="preserve">Bmw X5</v>
      </c>
    </row>
    <row r="5">
      <c r="A5" s="6" t="s">
        <v>59</v>
      </c>
      <c r="B5" s="6" t="str">
        <f t="shared" si="10"/>
        <v xml:space="preserve">AUDI X-TRAIL</v>
      </c>
      <c r="C5" s="6" t="str">
        <f t="shared" si="11"/>
        <v xml:space="preserve">AUDI X-TRAIL</v>
      </c>
      <c r="D5" s="6" t="str">
        <f t="shared" si="12"/>
        <v xml:space="preserve">Audi X-Trail</v>
      </c>
    </row>
    <row r="6">
      <c r="A6" s="6" t="s">
        <v>60</v>
      </c>
      <c r="B6" s="6" t="str">
        <f t="shared" si="10"/>
        <v xml:space="preserve">BMW COBALT</v>
      </c>
      <c r="C6" s="6" t="str">
        <f t="shared" si="11"/>
        <v xml:space="preserve">BMW COBALT</v>
      </c>
      <c r="D6" s="6" t="str">
        <f t="shared" si="12"/>
        <v xml:space="preserve">Bmw Cobalt</v>
      </c>
    </row>
    <row r="7">
      <c r="A7" s="6" t="s">
        <v>61</v>
      </c>
      <c r="B7" s="6" t="str">
        <f t="shared" si="10"/>
        <v xml:space="preserve">NISSAN ELANTRA</v>
      </c>
      <c r="C7" s="6" t="str">
        <f t="shared" si="11"/>
        <v xml:space="preserve">NISSAN ELANTRA</v>
      </c>
      <c r="D7" s="6" t="str">
        <f t="shared" si="12"/>
        <v xml:space="preserve">Nissan Elantra</v>
      </c>
    </row>
    <row r="8">
      <c r="A8" s="6" t="s">
        <v>62</v>
      </c>
      <c r="B8" s="6" t="str">
        <f t="shared" si="10"/>
        <v xml:space="preserve">KIA COBALT</v>
      </c>
      <c r="C8" s="6" t="str">
        <f t="shared" si="11"/>
        <v xml:space="preserve">KIA COBALT</v>
      </c>
      <c r="D8" s="6" t="str">
        <f t="shared" si="12"/>
        <v xml:space="preserve">Kia Cobalt</v>
      </c>
    </row>
    <row r="9">
      <c r="A9" s="6" t="s">
        <v>58</v>
      </c>
      <c r="B9" s="6" t="str">
        <f t="shared" si="10"/>
        <v xml:space="preserve">BMW X5</v>
      </c>
      <c r="C9" s="6" t="str">
        <f t="shared" si="11"/>
        <v xml:space="preserve">BMW X5</v>
      </c>
      <c r="D9" s="6" t="str">
        <f t="shared" si="12"/>
        <v xml:space="preserve">Bmw X5</v>
      </c>
    </row>
    <row r="10">
      <c r="A10" s="6" t="s">
        <v>63</v>
      </c>
      <c r="B10" s="6" t="str">
        <f t="shared" ref="B10:B26" si="13">UPPER(A10)</f>
        <v xml:space="preserve">HYUNDAI X5</v>
      </c>
      <c r="C10" s="6" t="str">
        <f t="shared" ref="C10:C26" si="14">UPPER(A10)</f>
        <v xml:space="preserve">HYUNDAI X5</v>
      </c>
      <c r="D10" s="6" t="str">
        <f t="shared" ref="D10:D26" si="15">PROPER(C10)</f>
        <v xml:space="preserve">Hyundai X5</v>
      </c>
    </row>
    <row r="11">
      <c r="A11" s="6" t="s">
        <v>62</v>
      </c>
      <c r="B11" s="6" t="str">
        <f t="shared" si="13"/>
        <v xml:space="preserve">KIA COBALT</v>
      </c>
      <c r="C11" s="6" t="str">
        <f t="shared" si="14"/>
        <v xml:space="preserve">KIA COBALT</v>
      </c>
      <c r="D11" s="6" t="str">
        <f t="shared" si="15"/>
        <v xml:space="preserve">Kia Cobalt</v>
      </c>
    </row>
    <row r="12">
      <c r="A12" s="6" t="s">
        <v>64</v>
      </c>
      <c r="B12" s="6" t="str">
        <f t="shared" si="13"/>
        <v xml:space="preserve">HYUNDAI CLS</v>
      </c>
      <c r="C12" s="6" t="str">
        <f t="shared" si="14"/>
        <v xml:space="preserve">HYUNDAI CLS</v>
      </c>
      <c r="D12" s="6" t="str">
        <f t="shared" si="15"/>
        <v xml:space="preserve">Hyundai Cls</v>
      </c>
    </row>
    <row r="13">
      <c r="A13" s="6" t="s">
        <v>65</v>
      </c>
      <c r="B13" s="6" t="str">
        <f t="shared" si="13"/>
        <v xml:space="preserve">AUDI A6</v>
      </c>
      <c r="C13" s="6" t="str">
        <f t="shared" si="14"/>
        <v xml:space="preserve">AUDI A6</v>
      </c>
      <c r="D13" s="6" t="str">
        <f t="shared" si="15"/>
        <v xml:space="preserve">Audi A6</v>
      </c>
    </row>
    <row r="14">
      <c r="A14" s="6" t="s">
        <v>56</v>
      </c>
      <c r="B14" s="6" t="str">
        <f t="shared" si="13"/>
        <v xml:space="preserve">HYUNDAI SPORTAGE</v>
      </c>
      <c r="C14" s="6" t="str">
        <f t="shared" si="14"/>
        <v xml:space="preserve">HYUNDAI SPORTAGE</v>
      </c>
      <c r="D14" s="6" t="str">
        <f t="shared" si="15"/>
        <v xml:space="preserve">Hyundai Sportage</v>
      </c>
    </row>
    <row r="15">
      <c r="A15" s="6" t="s">
        <v>56</v>
      </c>
      <c r="B15" s="6" t="str">
        <f t="shared" si="13"/>
        <v xml:space="preserve">HYUNDAI SPORTAGE</v>
      </c>
      <c r="C15" s="6" t="str">
        <f t="shared" si="14"/>
        <v xml:space="preserve">HYUNDAI SPORTAGE</v>
      </c>
      <c r="D15" s="6" t="str">
        <f t="shared" si="15"/>
        <v xml:space="preserve">Hyundai Sportage</v>
      </c>
    </row>
    <row r="16">
      <c r="A16" s="6" t="s">
        <v>66</v>
      </c>
      <c r="B16" s="6" t="str">
        <f t="shared" si="13"/>
        <v xml:space="preserve">MERCEDES X-TRAIL</v>
      </c>
      <c r="C16" s="6" t="str">
        <f t="shared" si="14"/>
        <v xml:space="preserve">MERCEDES X-TRAIL</v>
      </c>
      <c r="D16" s="6" t="str">
        <f t="shared" si="15"/>
        <v xml:space="preserve">Mercedes X-Trail</v>
      </c>
    </row>
    <row r="17">
      <c r="A17" s="6" t="s">
        <v>67</v>
      </c>
      <c r="B17" s="6" t="str">
        <f t="shared" si="13"/>
        <v xml:space="preserve">NISSAN CAMRY</v>
      </c>
      <c r="C17" s="6" t="str">
        <f t="shared" si="14"/>
        <v xml:space="preserve">NISSAN CAMRY</v>
      </c>
      <c r="D17" s="6" t="str">
        <f t="shared" si="15"/>
        <v xml:space="preserve">Nissan Camry</v>
      </c>
    </row>
    <row r="18">
      <c r="A18" s="6" t="s">
        <v>65</v>
      </c>
      <c r="B18" s="6" t="str">
        <f t="shared" si="13"/>
        <v xml:space="preserve">AUDI A6</v>
      </c>
      <c r="C18" s="6" t="str">
        <f t="shared" si="14"/>
        <v xml:space="preserve">AUDI A6</v>
      </c>
      <c r="D18" s="6" t="str">
        <f t="shared" si="15"/>
        <v xml:space="preserve">Audi A6</v>
      </c>
    </row>
    <row r="19">
      <c r="A19" s="6" t="s">
        <v>68</v>
      </c>
      <c r="B19" s="6" t="str">
        <f t="shared" si="13"/>
        <v xml:space="preserve">TOYOTA A6</v>
      </c>
      <c r="C19" s="6" t="str">
        <f t="shared" si="14"/>
        <v xml:space="preserve">TOYOTA A6</v>
      </c>
      <c r="D19" s="6" t="str">
        <f t="shared" si="15"/>
        <v xml:space="preserve">Toyota A6</v>
      </c>
    </row>
    <row r="20">
      <c r="A20" s="6" t="s">
        <v>69</v>
      </c>
      <c r="B20" s="6" t="str">
        <f t="shared" si="13"/>
        <v xml:space="preserve">HYUNDAI COBALT</v>
      </c>
      <c r="C20" s="6" t="str">
        <f t="shared" si="14"/>
        <v xml:space="preserve">HYUNDAI COBALT</v>
      </c>
      <c r="D20" s="6" t="str">
        <f t="shared" si="15"/>
        <v xml:space="preserve">Hyundai Cobalt</v>
      </c>
    </row>
    <row r="21">
      <c r="A21" s="6" t="s">
        <v>70</v>
      </c>
      <c r="B21" s="6" t="str">
        <f t="shared" si="13"/>
        <v xml:space="preserve">CHEVROLET COBALT</v>
      </c>
      <c r="C21" s="6" t="str">
        <f t="shared" si="14"/>
        <v xml:space="preserve">CHEVROLET COBALT</v>
      </c>
      <c r="D21" s="6" t="str">
        <f t="shared" si="15"/>
        <v xml:space="preserve">Chevrolet Cobalt</v>
      </c>
    </row>
    <row r="22">
      <c r="A22" s="6" t="s">
        <v>71</v>
      </c>
      <c r="B22" s="6" t="str">
        <f t="shared" si="13"/>
        <v xml:space="preserve">AUDI SPORTAGE</v>
      </c>
      <c r="C22" s="6" t="str">
        <f t="shared" si="14"/>
        <v xml:space="preserve">AUDI SPORTAGE</v>
      </c>
      <c r="D22" s="6" t="str">
        <f t="shared" si="15"/>
        <v xml:space="preserve">Audi Sportage</v>
      </c>
    </row>
    <row r="23">
      <c r="A23" s="6" t="s">
        <v>60</v>
      </c>
      <c r="B23" s="6" t="str">
        <f t="shared" si="13"/>
        <v xml:space="preserve">BMW COBALT</v>
      </c>
      <c r="C23" s="6" t="str">
        <f t="shared" si="14"/>
        <v xml:space="preserve">BMW COBALT</v>
      </c>
      <c r="D23" s="6" t="str">
        <f t="shared" si="15"/>
        <v xml:space="preserve">Bmw Cobalt</v>
      </c>
    </row>
    <row r="24">
      <c r="A24" s="6" t="s">
        <v>71</v>
      </c>
      <c r="B24" s="6" t="str">
        <f t="shared" si="13"/>
        <v xml:space="preserve">AUDI SPORTAGE</v>
      </c>
      <c r="C24" s="6" t="str">
        <f t="shared" si="14"/>
        <v xml:space="preserve">AUDI SPORTAGE</v>
      </c>
      <c r="D24" s="6" t="str">
        <f t="shared" si="15"/>
        <v xml:space="preserve">Audi Sportage</v>
      </c>
    </row>
    <row r="25">
      <c r="A25" s="6" t="s">
        <v>72</v>
      </c>
      <c r="B25" s="6" t="str">
        <f t="shared" si="13"/>
        <v xml:space="preserve">BMW X-TRAIL</v>
      </c>
      <c r="C25" s="6" t="str">
        <f t="shared" si="14"/>
        <v xml:space="preserve">BMW X-TRAIL</v>
      </c>
      <c r="D25" s="6" t="str">
        <f t="shared" si="15"/>
        <v xml:space="preserve">Bmw X-Trail</v>
      </c>
    </row>
    <row r="26">
      <c r="A26" s="6" t="s">
        <v>73</v>
      </c>
      <c r="B26" s="6" t="str">
        <f t="shared" si="13"/>
        <v xml:space="preserve">MERCEDES X5</v>
      </c>
      <c r="C26" s="6" t="str">
        <f t="shared" si="14"/>
        <v xml:space="preserve">MERCEDES X5</v>
      </c>
      <c r="D26" s="6" t="str">
        <f t="shared" si="15"/>
        <v xml:space="preserve">Mercedes X5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4.33203125"/>
    <col bestFit="1" customWidth="1" min="2" max="2" width="12.7109375"/>
    <col bestFit="1" min="3" max="3" width="8.8125"/>
    <col bestFit="1" min="4" max="4" width="9.8515625"/>
  </cols>
  <sheetData>
    <row r="1">
      <c r="A1" s="5" t="s">
        <v>74</v>
      </c>
      <c r="B1" s="5" t="s">
        <v>75</v>
      </c>
      <c r="C1" s="5" t="s">
        <v>76</v>
      </c>
      <c r="D1" s="5" t="s">
        <v>77</v>
      </c>
    </row>
    <row r="2">
      <c r="A2" s="6" t="s">
        <v>78</v>
      </c>
      <c r="B2" s="6" t="str">
        <f t="shared" ref="B2:B9" si="16">LEFT(A2,4)</f>
        <v>+998</v>
      </c>
      <c r="C2" s="6" t="str">
        <f t="shared" ref="C2:C9" si="17">MID(A2,5,2)</f>
        <v>98</v>
      </c>
      <c r="D2" s="6" t="str">
        <f t="shared" ref="D2:D9" si="18">RIGHT(A2,7)</f>
        <v>7260550</v>
      </c>
    </row>
    <row r="3">
      <c r="A3" s="6" t="s">
        <v>79</v>
      </c>
      <c r="B3" s="6" t="str">
        <f t="shared" si="16"/>
        <v>+998</v>
      </c>
      <c r="C3" s="6" t="str">
        <f t="shared" si="17"/>
        <v>91</v>
      </c>
      <c r="D3" s="6" t="str">
        <f t="shared" si="18"/>
        <v>7549604</v>
      </c>
    </row>
    <row r="4">
      <c r="A4" s="6" t="s">
        <v>80</v>
      </c>
      <c r="B4" s="6" t="str">
        <f t="shared" si="16"/>
        <v>+998</v>
      </c>
      <c r="C4" s="6" t="str">
        <f t="shared" si="17"/>
        <v>93</v>
      </c>
      <c r="D4" s="6" t="str">
        <f t="shared" si="18"/>
        <v>5210743</v>
      </c>
    </row>
    <row r="5">
      <c r="A5" s="6" t="s">
        <v>81</v>
      </c>
      <c r="B5" s="6" t="str">
        <f t="shared" si="16"/>
        <v>+998</v>
      </c>
      <c r="C5" s="6" t="str">
        <f t="shared" si="17"/>
        <v>97</v>
      </c>
      <c r="D5" s="6" t="str">
        <f t="shared" si="18"/>
        <v>8056642</v>
      </c>
    </row>
    <row r="6">
      <c r="A6" s="6" t="s">
        <v>82</v>
      </c>
      <c r="B6" s="6" t="str">
        <f t="shared" si="16"/>
        <v>+998</v>
      </c>
      <c r="C6" s="6" t="str">
        <f t="shared" si="17"/>
        <v>91</v>
      </c>
      <c r="D6" s="6" t="str">
        <f t="shared" si="18"/>
        <v>0154660</v>
      </c>
    </row>
    <row r="7">
      <c r="A7" s="6" t="s">
        <v>83</v>
      </c>
      <c r="B7" s="6" t="str">
        <f t="shared" si="16"/>
        <v>+998</v>
      </c>
      <c r="C7" s="6" t="str">
        <f t="shared" si="17"/>
        <v>93</v>
      </c>
      <c r="D7" s="6" t="str">
        <f t="shared" si="18"/>
        <v>7142313</v>
      </c>
    </row>
    <row r="8">
      <c r="A8" s="6" t="s">
        <v>84</v>
      </c>
      <c r="B8" s="6" t="str">
        <f t="shared" si="16"/>
        <v>+998</v>
      </c>
      <c r="C8" s="6" t="str">
        <f t="shared" si="17"/>
        <v>94</v>
      </c>
      <c r="D8" s="6" t="str">
        <f t="shared" si="18"/>
        <v>9216479</v>
      </c>
    </row>
    <row r="9">
      <c r="A9" s="6" t="s">
        <v>85</v>
      </c>
      <c r="B9" s="6" t="str">
        <f t="shared" si="16"/>
        <v>+998</v>
      </c>
      <c r="C9" s="6" t="str">
        <f t="shared" si="17"/>
        <v>94</v>
      </c>
      <c r="D9" s="6" t="str">
        <f t="shared" si="18"/>
        <v>1067215</v>
      </c>
    </row>
    <row r="10">
      <c r="A10" s="6" t="s">
        <v>86</v>
      </c>
      <c r="B10" s="6" t="str">
        <f t="shared" ref="B10:B26" si="19">LEFT(A10,4)</f>
        <v>+998</v>
      </c>
      <c r="C10" s="6" t="str">
        <f t="shared" ref="C10:C26" si="20">MID(A10,5,2)</f>
        <v>98</v>
      </c>
      <c r="D10" s="6" t="str">
        <f t="shared" ref="D10:D26" si="21">RIGHT(A10,7)</f>
        <v>7221739</v>
      </c>
    </row>
    <row r="11">
      <c r="A11" s="6" t="s">
        <v>87</v>
      </c>
      <c r="B11" s="6" t="str">
        <f t="shared" si="19"/>
        <v>+998</v>
      </c>
      <c r="C11" s="6" t="str">
        <f t="shared" si="20"/>
        <v>95</v>
      </c>
      <c r="D11" s="6" t="str">
        <f t="shared" si="21"/>
        <v>7321192</v>
      </c>
    </row>
    <row r="12">
      <c r="A12" s="6" t="s">
        <v>88</v>
      </c>
      <c r="B12" s="6" t="str">
        <f t="shared" si="19"/>
        <v>+998</v>
      </c>
      <c r="C12" s="6" t="str">
        <f t="shared" si="20"/>
        <v>99</v>
      </c>
      <c r="D12" s="6" t="str">
        <f t="shared" si="21"/>
        <v>3339466</v>
      </c>
    </row>
    <row r="13">
      <c r="A13" s="6" t="s">
        <v>89</v>
      </c>
      <c r="B13" s="6" t="str">
        <f t="shared" si="19"/>
        <v>+998</v>
      </c>
      <c r="C13" s="6" t="str">
        <f t="shared" si="20"/>
        <v>91</v>
      </c>
      <c r="D13" s="6" t="str">
        <f t="shared" si="21"/>
        <v>0358306</v>
      </c>
    </row>
    <row r="14">
      <c r="A14" s="6" t="s">
        <v>90</v>
      </c>
      <c r="B14" s="6" t="str">
        <f t="shared" si="19"/>
        <v>+998</v>
      </c>
      <c r="C14" s="6" t="str">
        <f t="shared" si="20"/>
        <v>95</v>
      </c>
      <c r="D14" s="6" t="str">
        <f t="shared" si="21"/>
        <v>3105042</v>
      </c>
    </row>
    <row r="15">
      <c r="A15" s="6" t="s">
        <v>91</v>
      </c>
      <c r="B15" s="6" t="str">
        <f t="shared" si="19"/>
        <v>+998</v>
      </c>
      <c r="C15" s="6" t="str">
        <f t="shared" si="20"/>
        <v>94</v>
      </c>
      <c r="D15" s="6" t="str">
        <f t="shared" si="21"/>
        <v>3340080</v>
      </c>
    </row>
    <row r="16">
      <c r="A16" s="6" t="s">
        <v>92</v>
      </c>
      <c r="B16" s="6" t="str">
        <f t="shared" si="19"/>
        <v>+998</v>
      </c>
      <c r="C16" s="6" t="str">
        <f t="shared" si="20"/>
        <v>99</v>
      </c>
      <c r="D16" s="6" t="str">
        <f t="shared" si="21"/>
        <v>7739638</v>
      </c>
    </row>
    <row r="17">
      <c r="A17" s="6" t="s">
        <v>93</v>
      </c>
      <c r="B17" s="6" t="str">
        <f t="shared" si="19"/>
        <v>+998</v>
      </c>
      <c r="C17" s="6" t="str">
        <f t="shared" si="20"/>
        <v>99</v>
      </c>
      <c r="D17" s="6" t="str">
        <f t="shared" si="21"/>
        <v>8873101</v>
      </c>
    </row>
    <row r="18">
      <c r="A18" s="6" t="s">
        <v>94</v>
      </c>
      <c r="B18" s="6" t="str">
        <f t="shared" si="19"/>
        <v>+998</v>
      </c>
      <c r="C18" s="6" t="str">
        <f t="shared" si="20"/>
        <v>99</v>
      </c>
      <c r="D18" s="6" t="str">
        <f t="shared" si="21"/>
        <v>5629748</v>
      </c>
    </row>
    <row r="19">
      <c r="A19" s="6" t="s">
        <v>95</v>
      </c>
      <c r="B19" s="6" t="str">
        <f t="shared" si="19"/>
        <v>+998</v>
      </c>
      <c r="C19" s="6" t="str">
        <f t="shared" si="20"/>
        <v>99</v>
      </c>
      <c r="D19" s="6" t="str">
        <f t="shared" si="21"/>
        <v>8855883</v>
      </c>
    </row>
    <row r="20">
      <c r="A20" s="6" t="s">
        <v>96</v>
      </c>
      <c r="B20" s="6" t="str">
        <f t="shared" si="19"/>
        <v>+998</v>
      </c>
      <c r="C20" s="6" t="str">
        <f t="shared" si="20"/>
        <v>99</v>
      </c>
      <c r="D20" s="6" t="str">
        <f t="shared" si="21"/>
        <v>9916549</v>
      </c>
    </row>
    <row r="21">
      <c r="A21" s="6" t="s">
        <v>97</v>
      </c>
      <c r="B21" s="6" t="str">
        <f t="shared" si="19"/>
        <v>+998</v>
      </c>
      <c r="C21" s="6" t="str">
        <f t="shared" si="20"/>
        <v>90</v>
      </c>
      <c r="D21" s="6" t="str">
        <f t="shared" si="21"/>
        <v>2292641</v>
      </c>
    </row>
    <row r="22">
      <c r="A22" s="6" t="s">
        <v>98</v>
      </c>
      <c r="B22" s="6" t="str">
        <f t="shared" si="19"/>
        <v>+998</v>
      </c>
      <c r="C22" s="6" t="str">
        <f t="shared" si="20"/>
        <v>97</v>
      </c>
      <c r="D22" s="6" t="str">
        <f t="shared" si="21"/>
        <v>8663890</v>
      </c>
    </row>
    <row r="23">
      <c r="A23" s="6" t="s">
        <v>99</v>
      </c>
      <c r="B23" s="6" t="str">
        <f t="shared" si="19"/>
        <v>+998</v>
      </c>
      <c r="C23" s="6" t="str">
        <f t="shared" si="20"/>
        <v>98</v>
      </c>
      <c r="D23" s="6" t="str">
        <f t="shared" si="21"/>
        <v>6535094</v>
      </c>
    </row>
    <row r="24">
      <c r="A24" s="6" t="s">
        <v>100</v>
      </c>
      <c r="B24" s="6" t="str">
        <f t="shared" si="19"/>
        <v>+998</v>
      </c>
      <c r="C24" s="6" t="str">
        <f t="shared" si="20"/>
        <v>93</v>
      </c>
      <c r="D24" s="6" t="str">
        <f t="shared" si="21"/>
        <v>0346264</v>
      </c>
    </row>
    <row r="25">
      <c r="A25" s="6" t="s">
        <v>101</v>
      </c>
      <c r="B25" s="6" t="str">
        <f t="shared" si="19"/>
        <v>+998</v>
      </c>
      <c r="C25" s="6" t="str">
        <f t="shared" si="20"/>
        <v>91</v>
      </c>
      <c r="D25" s="6" t="str">
        <f t="shared" si="21"/>
        <v>1194507</v>
      </c>
    </row>
    <row r="26">
      <c r="A26" s="6" t="s">
        <v>102</v>
      </c>
      <c r="B26" s="6" t="str">
        <f t="shared" si="19"/>
        <v>+998</v>
      </c>
      <c r="C26" s="6" t="str">
        <f t="shared" si="20"/>
        <v>99</v>
      </c>
      <c r="D26" s="6" t="str">
        <f t="shared" si="21"/>
        <v>3967143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6" zoomScale="100" workbookViewId="0">
      <selection activeCell="A1" activeCellId="0" sqref="A1"/>
    </sheetView>
  </sheetViews>
  <sheetFormatPr defaultRowHeight="15"/>
  <cols>
    <col bestFit="1" min="1" max="1" width="13.6640625"/>
    <col bestFit="1" min="2" max="2" width="5.953125"/>
    <col bestFit="1" min="3" max="3" width="11.28125"/>
    <col bestFit="1" customWidth="1" min="4" max="4" width="4.90234375"/>
  </cols>
  <sheetData>
    <row r="1">
      <c r="A1" s="5" t="s">
        <v>103</v>
      </c>
      <c r="B1" s="5" t="s">
        <v>104</v>
      </c>
      <c r="C1" s="5" t="s">
        <v>105</v>
      </c>
      <c r="D1" s="5" t="s">
        <v>106</v>
      </c>
    </row>
    <row r="2">
      <c r="A2" s="6" t="s">
        <v>107</v>
      </c>
      <c r="B2" s="6" t="str">
        <f t="shared" ref="B2:B9" si="22">LEFT(A2,3)</f>
        <v>BMW</v>
      </c>
      <c r="C2" s="6" t="str">
        <f t="shared" ref="C2:C9" si="23">MID(A2,5,2)</f>
        <v>CO</v>
      </c>
      <c r="D2" s="6" t="str">
        <f t="shared" ref="D2:D9" si="24">RIGHT(A2,4)</f>
        <v>7587</v>
      </c>
    </row>
    <row r="3">
      <c r="A3" s="6" t="s">
        <v>108</v>
      </c>
      <c r="B3" s="6" t="str">
        <f t="shared" si="22"/>
        <v>HYU</v>
      </c>
      <c r="C3" s="6" t="str">
        <f t="shared" si="23"/>
        <v>CL</v>
      </c>
      <c r="D3" s="6" t="str">
        <f t="shared" si="24"/>
        <v>7604</v>
      </c>
    </row>
    <row r="4">
      <c r="A4" s="6" t="s">
        <v>109</v>
      </c>
      <c r="B4" s="6" t="str">
        <f t="shared" si="22"/>
        <v>BMW</v>
      </c>
      <c r="C4" s="6" t="str">
        <f t="shared" si="23"/>
        <v>A6</v>
      </c>
      <c r="D4" s="6" t="str">
        <f t="shared" si="24"/>
        <v>9997</v>
      </c>
    </row>
    <row r="5">
      <c r="A5" s="6" t="s">
        <v>110</v>
      </c>
      <c r="B5" s="6" t="str">
        <f t="shared" si="22"/>
        <v>KIA</v>
      </c>
      <c r="C5" s="6" t="str">
        <f t="shared" si="23"/>
        <v>SP</v>
      </c>
      <c r="D5" s="6" t="str">
        <f t="shared" si="24"/>
        <v>7105</v>
      </c>
    </row>
    <row r="6">
      <c r="A6" s="6" t="s">
        <v>111</v>
      </c>
      <c r="B6" s="6" t="str">
        <f t="shared" si="22"/>
        <v>MER</v>
      </c>
      <c r="C6" s="6" t="str">
        <f t="shared" si="23"/>
        <v>X-</v>
      </c>
      <c r="D6" s="6" t="str">
        <f t="shared" si="24"/>
        <v>1478</v>
      </c>
    </row>
    <row r="7">
      <c r="A7" s="6" t="s">
        <v>112</v>
      </c>
      <c r="B7" s="6" t="str">
        <f t="shared" si="22"/>
        <v>BMW</v>
      </c>
      <c r="C7" s="6" t="str">
        <f t="shared" si="23"/>
        <v>X-</v>
      </c>
      <c r="D7" s="6" t="str">
        <f t="shared" si="24"/>
        <v>9699</v>
      </c>
    </row>
    <row r="8">
      <c r="A8" s="6" t="s">
        <v>113</v>
      </c>
      <c r="B8" s="6" t="str">
        <f t="shared" si="22"/>
        <v>HYU</v>
      </c>
      <c r="C8" s="6" t="str">
        <f t="shared" si="23"/>
        <v>EL</v>
      </c>
      <c r="D8" s="6" t="str">
        <f t="shared" si="24"/>
        <v>6294</v>
      </c>
    </row>
    <row r="9">
      <c r="A9" s="6" t="s">
        <v>114</v>
      </c>
      <c r="B9" s="6" t="str">
        <f t="shared" si="22"/>
        <v>BMW</v>
      </c>
      <c r="C9" s="6" t="str">
        <f t="shared" si="23"/>
        <v>A6</v>
      </c>
      <c r="D9" s="6" t="str">
        <f t="shared" si="24"/>
        <v>6855</v>
      </c>
    </row>
    <row r="10">
      <c r="A10" s="6" t="s">
        <v>115</v>
      </c>
      <c r="B10" s="6" t="str">
        <f t="shared" ref="B10:B26" si="25">LEFT(A10,3)</f>
        <v>HYU</v>
      </c>
      <c r="C10" s="6" t="str">
        <f t="shared" ref="C10:C26" si="26">MID(A10,5,2)</f>
        <v>CO</v>
      </c>
      <c r="D10" s="6" t="str">
        <f t="shared" ref="D10:D26" si="27">RIGHT(A10,4)</f>
        <v>7708</v>
      </c>
    </row>
    <row r="11">
      <c r="A11" s="6" t="s">
        <v>116</v>
      </c>
      <c r="B11" s="6" t="str">
        <f t="shared" si="25"/>
        <v>CHE</v>
      </c>
      <c r="C11" s="6" t="str">
        <f t="shared" si="26"/>
        <v>EL</v>
      </c>
      <c r="D11" s="6" t="str">
        <f t="shared" si="27"/>
        <v>4309</v>
      </c>
    </row>
    <row r="12">
      <c r="A12" s="6" t="s">
        <v>117</v>
      </c>
      <c r="B12" s="6" t="str">
        <f t="shared" si="25"/>
        <v>TOY</v>
      </c>
      <c r="C12" s="6" t="str">
        <f t="shared" si="26"/>
        <v>CA</v>
      </c>
      <c r="D12" s="6" t="str">
        <f t="shared" si="27"/>
        <v>6587</v>
      </c>
    </row>
    <row r="13">
      <c r="A13" s="6" t="s">
        <v>118</v>
      </c>
      <c r="B13" s="6" t="str">
        <f t="shared" si="25"/>
        <v>TOY</v>
      </c>
      <c r="C13" s="6" t="str">
        <f t="shared" si="26"/>
        <v>A6</v>
      </c>
      <c r="D13" s="6" t="str">
        <f t="shared" si="27"/>
        <v>6050</v>
      </c>
    </row>
    <row r="14">
      <c r="A14" s="6" t="s">
        <v>119</v>
      </c>
      <c r="B14" s="6" t="str">
        <f t="shared" si="25"/>
        <v>CHE</v>
      </c>
      <c r="C14" s="6" t="str">
        <f t="shared" si="26"/>
        <v>CA</v>
      </c>
      <c r="D14" s="6" t="str">
        <f t="shared" si="27"/>
        <v>6971</v>
      </c>
    </row>
    <row r="15">
      <c r="A15" s="6" t="s">
        <v>120</v>
      </c>
      <c r="B15" s="6" t="str">
        <f t="shared" si="25"/>
        <v>CHE</v>
      </c>
      <c r="C15" s="6" t="str">
        <f t="shared" si="26"/>
        <v>A6</v>
      </c>
      <c r="D15" s="6" t="str">
        <f t="shared" si="27"/>
        <v>7150</v>
      </c>
    </row>
    <row r="16">
      <c r="A16" s="6" t="s">
        <v>121</v>
      </c>
      <c r="B16" s="6" t="str">
        <f t="shared" si="25"/>
        <v>AUD</v>
      </c>
      <c r="C16" s="6" t="str">
        <f t="shared" si="26"/>
        <v>CA</v>
      </c>
      <c r="D16" s="6" t="str">
        <f t="shared" si="27"/>
        <v>6556</v>
      </c>
    </row>
    <row r="17">
      <c r="A17" s="6" t="s">
        <v>122</v>
      </c>
      <c r="B17" s="6" t="str">
        <f t="shared" si="25"/>
        <v>TOY</v>
      </c>
      <c r="C17" s="6" t="str">
        <f t="shared" si="26"/>
        <v>CO</v>
      </c>
      <c r="D17" s="6" t="str">
        <f t="shared" si="27"/>
        <v>9323</v>
      </c>
    </row>
    <row r="18">
      <c r="A18" s="6" t="s">
        <v>123</v>
      </c>
      <c r="B18" s="6" t="str">
        <f t="shared" si="25"/>
        <v>AUD</v>
      </c>
      <c r="C18" s="6" t="str">
        <f t="shared" si="26"/>
        <v>A6</v>
      </c>
      <c r="D18" s="6" t="str">
        <f t="shared" si="27"/>
        <v>4109</v>
      </c>
    </row>
    <row r="19">
      <c r="A19" s="6" t="s">
        <v>124</v>
      </c>
      <c r="B19" s="6" t="str">
        <f t="shared" si="25"/>
        <v>KIA</v>
      </c>
      <c r="C19" s="6" t="str">
        <f t="shared" si="26"/>
        <v>X5</v>
      </c>
      <c r="D19" s="6" t="str">
        <f t="shared" si="27"/>
        <v>4969</v>
      </c>
    </row>
    <row r="20">
      <c r="A20" s="6" t="s">
        <v>125</v>
      </c>
      <c r="B20" s="6" t="str">
        <f t="shared" si="25"/>
        <v>NIS</v>
      </c>
      <c r="C20" s="6" t="str">
        <f t="shared" si="26"/>
        <v>SP</v>
      </c>
      <c r="D20" s="6" t="str">
        <f t="shared" si="27"/>
        <v>9204</v>
      </c>
    </row>
    <row r="21">
      <c r="A21" s="6" t="s">
        <v>126</v>
      </c>
      <c r="B21" s="6" t="str">
        <f t="shared" si="25"/>
        <v>MER</v>
      </c>
      <c r="C21" s="6" t="str">
        <f t="shared" si="26"/>
        <v>CO</v>
      </c>
      <c r="D21" s="6" t="str">
        <f t="shared" si="27"/>
        <v>2656</v>
      </c>
    </row>
    <row r="22">
      <c r="A22" s="6" t="s">
        <v>127</v>
      </c>
      <c r="B22" s="6" t="str">
        <f t="shared" si="25"/>
        <v>MER</v>
      </c>
      <c r="C22" s="6" t="str">
        <f t="shared" si="26"/>
        <v>EL</v>
      </c>
      <c r="D22" s="6" t="str">
        <f t="shared" si="27"/>
        <v>6210</v>
      </c>
    </row>
    <row r="23">
      <c r="A23" s="6" t="s">
        <v>128</v>
      </c>
      <c r="B23" s="6" t="str">
        <f t="shared" si="25"/>
        <v>TOY</v>
      </c>
      <c r="C23" s="6" t="str">
        <f t="shared" si="26"/>
        <v>A6</v>
      </c>
      <c r="D23" s="6" t="str">
        <f t="shared" si="27"/>
        <v>2825</v>
      </c>
    </row>
    <row r="24">
      <c r="A24" s="6" t="s">
        <v>129</v>
      </c>
      <c r="B24" s="6" t="str">
        <f t="shared" si="25"/>
        <v>CHE</v>
      </c>
      <c r="C24" s="6" t="str">
        <f t="shared" si="26"/>
        <v>X5</v>
      </c>
      <c r="D24" s="6" t="str">
        <f t="shared" si="27"/>
        <v>3441</v>
      </c>
    </row>
    <row r="25">
      <c r="A25" s="6" t="s">
        <v>130</v>
      </c>
      <c r="B25" s="6" t="str">
        <f t="shared" si="25"/>
        <v>CHE</v>
      </c>
      <c r="C25" s="6" t="str">
        <f t="shared" si="26"/>
        <v>CO</v>
      </c>
      <c r="D25" s="6" t="str">
        <f t="shared" si="27"/>
        <v>7694</v>
      </c>
    </row>
    <row r="26">
      <c r="A26" s="6" t="s">
        <v>131</v>
      </c>
      <c r="B26" s="6" t="str">
        <f t="shared" si="25"/>
        <v>BMW</v>
      </c>
      <c r="C26" s="6" t="str">
        <f t="shared" si="26"/>
        <v>CL</v>
      </c>
      <c r="D26" s="6" t="str">
        <f t="shared" si="27"/>
        <v>1454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B18" zoomScale="100" workbookViewId="0">
      <selection activeCell="P1" activeCellId="0" sqref="P1:AC31"/>
    </sheetView>
  </sheetViews>
  <sheetFormatPr defaultRowHeight="14.25"/>
  <cols>
    <col bestFit="1" customWidth="1" min="1" max="1" width="11.88671875"/>
    <col bestFit="1" customWidth="1" min="2" max="2" width="21.6640625"/>
    <col bestFit="1" customWidth="1" min="3" max="3" width="14.6640625"/>
    <col bestFit="1" customWidth="1" min="4" max="4" width="11.77734375"/>
    <col bestFit="1" customWidth="1" min="5" max="5" style="7" width="15.5546875"/>
    <col bestFit="1" customWidth="1" min="6" max="6" width="23.88671875"/>
    <col bestFit="1" customWidth="1" min="7" max="7" width="9.33203125"/>
    <col bestFit="1" customWidth="1" min="8" max="8" width="11.109375"/>
    <col bestFit="1" customWidth="1" min="9" max="9" width="9.5546875"/>
    <col bestFit="1" customWidth="1" min="10" max="10" width="18"/>
    <col bestFit="1" customWidth="1" min="11" max="11" width="14"/>
    <col bestFit="1" customWidth="1" min="12" max="12" width="19.44140625"/>
    <col bestFit="1" customWidth="1" min="13" max="13" width="25.88671875"/>
    <col bestFit="1" customWidth="1" min="14" max="14" width="11.6640625"/>
    <col bestFit="1" customWidth="1" min="15" max="15" width="15.33203125"/>
    <col bestFit="1" customWidth="1" min="16" max="16" width="19"/>
    <col bestFit="1" customWidth="1" min="17" max="17" width="16.6640625"/>
    <col bestFit="1" customWidth="1" min="18" max="18" width="12"/>
    <col bestFit="1" customWidth="1" min="19" max="19" width="15.6640625"/>
    <col bestFit="1" customWidth="1" min="20" max="20" width="20.44140625"/>
    <col bestFit="1" customWidth="1" min="21" max="21" width="10.5546875"/>
    <col bestFit="1" customWidth="1" min="22" max="22" width="11.88671875"/>
    <col bestFit="1" customWidth="1" min="23" max="23" width="7.88671875"/>
    <col bestFit="1" customWidth="1" min="24" max="24" width="18.21875"/>
    <col bestFit="1" customWidth="1" min="25" max="25" width="14.21875"/>
    <col bestFit="1" customWidth="1" min="26" max="26" width="18.90234375"/>
    <col bestFit="1" customWidth="1" min="27" max="27" width="20.109375"/>
    <col bestFit="1" customWidth="1" min="28" max="28" width="11.47265625"/>
    <col bestFit="1" customWidth="1" min="29" max="29" width="16.109375"/>
  </cols>
  <sheetData>
    <row r="1">
      <c r="A1" s="8" t="s">
        <v>132</v>
      </c>
      <c r="B1" s="8" t="s">
        <v>133</v>
      </c>
      <c r="C1" s="8" t="s">
        <v>134</v>
      </c>
      <c r="D1" s="8" t="s">
        <v>135</v>
      </c>
      <c r="E1" s="9" t="s">
        <v>136</v>
      </c>
      <c r="F1" s="8" t="s">
        <v>137</v>
      </c>
      <c r="G1" s="8" t="s">
        <v>138</v>
      </c>
      <c r="H1" s="8" t="s">
        <v>139</v>
      </c>
      <c r="I1" s="8" t="s">
        <v>140</v>
      </c>
      <c r="J1" s="8" t="s">
        <v>141</v>
      </c>
      <c r="K1" s="8" t="s">
        <v>142</v>
      </c>
      <c r="L1" s="8" t="s">
        <v>143</v>
      </c>
      <c r="M1" s="8" t="s">
        <v>144</v>
      </c>
      <c r="N1" s="8" t="s">
        <v>145</v>
      </c>
      <c r="O1" s="8" t="s">
        <v>146</v>
      </c>
      <c r="P1" s="8" t="s">
        <v>147</v>
      </c>
      <c r="Q1" s="8" t="s">
        <v>148</v>
      </c>
      <c r="R1" s="8" t="s">
        <v>149</v>
      </c>
      <c r="S1" s="8" t="s">
        <v>150</v>
      </c>
      <c r="T1" s="8" t="s">
        <v>151</v>
      </c>
      <c r="U1" s="8" t="s">
        <v>152</v>
      </c>
      <c r="V1" s="8" t="s">
        <v>153</v>
      </c>
      <c r="W1" s="8" t="s">
        <v>154</v>
      </c>
      <c r="X1" s="8" t="s">
        <v>155</v>
      </c>
      <c r="Y1" s="8" t="s">
        <v>156</v>
      </c>
      <c r="Z1" s="8" t="s">
        <v>157</v>
      </c>
      <c r="AA1" s="8" t="s">
        <v>158</v>
      </c>
      <c r="AB1" s="8" t="s">
        <v>159</v>
      </c>
      <c r="AC1" s="8" t="s">
        <v>160</v>
      </c>
    </row>
    <row r="2">
      <c r="A2" s="6" t="s">
        <v>161</v>
      </c>
      <c r="B2" s="6" t="s">
        <v>162</v>
      </c>
      <c r="C2" s="6" t="s">
        <v>163</v>
      </c>
      <c r="D2" s="6" t="s">
        <v>164</v>
      </c>
      <c r="E2" s="10">
        <v>998901234567</v>
      </c>
      <c r="F2" s="6" t="s">
        <v>165</v>
      </c>
      <c r="G2" s="6" t="s">
        <v>166</v>
      </c>
      <c r="H2" s="6" t="s">
        <v>167</v>
      </c>
      <c r="I2" s="6">
        <v>0</v>
      </c>
      <c r="J2" s="6" t="s">
        <v>168</v>
      </c>
      <c r="K2" s="6" t="s">
        <v>169</v>
      </c>
      <c r="L2" s="6" t="s">
        <v>170</v>
      </c>
      <c r="M2" s="6" t="s">
        <v>171</v>
      </c>
      <c r="N2" s="6" t="s">
        <v>172</v>
      </c>
      <c r="O2" s="6" t="s">
        <v>173</v>
      </c>
      <c r="P2" s="6" t="str">
        <f>PROPER(TRIM(B2))</f>
        <v xml:space="preserve">Abdulloh Nurmatov</v>
      </c>
      <c r="Q2" s="6" t="str">
        <f>PROPER(TRIM(C2))</f>
        <v xml:space="preserve">Chilonzor 12</v>
      </c>
      <c r="R2" s="6" t="str">
        <f>PROPER(TRIM(D2))</f>
        <v>Toshkent</v>
      </c>
      <c r="S2" s="6" t="str">
        <f>"+"&amp;LEFT(E2,3)&amp;"-"&amp;MID(E2,4,2)&amp;"-"&amp;RIGHT(E2,7)</f>
        <v>+998-90-1234567</v>
      </c>
      <c r="T2" s="6" t="str">
        <f>LOWER(F2)</f>
        <v>abdulloh@gmail.com</v>
      </c>
      <c r="U2" s="6" t="str">
        <f>PROPER(TRIM(G2))</f>
        <v>Erkak</v>
      </c>
      <c r="V2" s="6" t="str">
        <f>UPPER(TRIM(H2))</f>
        <v>AKTIV</v>
      </c>
      <c r="W2" s="6" t="str">
        <f>MID(A2,6,3)</f>
        <v>001</v>
      </c>
      <c r="X2" s="6" t="str">
        <f>TRIM(J2)</f>
        <v>1995-05-12</v>
      </c>
      <c r="Y2" s="6" t="str">
        <f>UPPER(TRIM(K2))</f>
        <v>VIP</v>
      </c>
      <c r="Z2" s="6" t="str">
        <f>TRIM(L2)</f>
        <v xml:space="preserve">8600 1234 5678 9012</v>
      </c>
      <c r="AA2" s="6" t="str">
        <f>TRIM(M2)</f>
        <v>2023-01-12</v>
      </c>
      <c r="AB2" s="6" t="str">
        <f>PROPER(TRIM(N2))</f>
        <v xml:space="preserve">Yaxshi Mijoz</v>
      </c>
      <c r="AC2" s="6" t="str">
        <f>UPPER(TRIM(O2))</f>
        <v>SALE10</v>
      </c>
    </row>
    <row r="3">
      <c r="A3" s="6" t="s">
        <v>174</v>
      </c>
      <c r="B3" s="6" t="s">
        <v>175</v>
      </c>
      <c r="C3" s="6" t="s">
        <v>176</v>
      </c>
      <c r="D3" s="6" t="s">
        <v>164</v>
      </c>
      <c r="E3" s="10">
        <v>998931112233</v>
      </c>
      <c r="F3" s="6" t="s">
        <v>177</v>
      </c>
      <c r="G3" s="6" t="s">
        <v>178</v>
      </c>
      <c r="H3" s="6" t="s">
        <v>179</v>
      </c>
      <c r="I3" s="6">
        <v>120000</v>
      </c>
      <c r="J3" s="6" t="s">
        <v>180</v>
      </c>
      <c r="K3" s="6" t="s">
        <v>181</v>
      </c>
      <c r="L3" s="6" t="s">
        <v>182</v>
      </c>
      <c r="M3" s="6" t="s">
        <v>183</v>
      </c>
      <c r="N3" s="6" t="s">
        <v>184</v>
      </c>
      <c r="O3" s="6" t="s">
        <v>185</v>
      </c>
      <c r="P3" s="6" t="str">
        <f>PROPER(TRIM(B3))</f>
        <v xml:space="preserve">Sarvar Karimov</v>
      </c>
      <c r="Q3" s="6" t="str">
        <f>PROPER(TRIM(C3))</f>
        <v xml:space="preserve">Yunusobod 45</v>
      </c>
      <c r="R3" s="6" t="str">
        <f>PROPER(TRIM(D3))</f>
        <v>Toshkent</v>
      </c>
      <c r="S3" s="6" t="str">
        <f>"+"&amp;LEFT(E3,3)&amp;"-"&amp;MID(E3,4,2)&amp;"-"&amp;RIGHT(E3,7)</f>
        <v>+998-93-1112233</v>
      </c>
      <c r="T3" s="6" t="str">
        <f>LOWER(F3)</f>
        <v>sarvar@mail.com</v>
      </c>
      <c r="U3" s="6" t="str">
        <f>PROPER(TRIM(G3))</f>
        <v>Erkak</v>
      </c>
      <c r="V3" s="6" t="str">
        <f>UPPER(TRIM(H3))</f>
        <v>QARZDOR</v>
      </c>
      <c r="W3" s="6" t="str">
        <f>MID(A3,6,3)</f>
        <v>002</v>
      </c>
      <c r="X3" s="6" t="str">
        <f>TRIM(J3)</f>
        <v>1998-11-02</v>
      </c>
      <c r="Y3" s="6" t="str">
        <f>UPPER(TRIM(K3))</f>
        <v>ODDIY</v>
      </c>
      <c r="Z3" s="6" t="str">
        <f>TRIM(L3)</f>
        <v xml:space="preserve">9860 5555 4444 3333</v>
      </c>
      <c r="AA3" s="6" t="str">
        <f>TRIM(M3)</f>
        <v>2023-02-15</v>
      </c>
      <c r="AB3" s="6" t="str">
        <f>PROPER(TRIM(N3))</f>
        <v>Yangi</v>
      </c>
      <c r="AC3" s="6" t="str">
        <f>UPPER(TRIM(O3))</f>
        <v>NEW20</v>
      </c>
    </row>
    <row r="4">
      <c r="A4" s="6" t="s">
        <v>186</v>
      </c>
      <c r="B4" s="6" t="s">
        <v>187</v>
      </c>
      <c r="C4" s="6" t="s">
        <v>188</v>
      </c>
      <c r="D4" s="6" t="s">
        <v>189</v>
      </c>
      <c r="E4" s="10">
        <v>998909998877</v>
      </c>
      <c r="F4" s="6" t="s">
        <v>165</v>
      </c>
      <c r="G4" s="6" t="s">
        <v>166</v>
      </c>
      <c r="H4" s="6" t="s">
        <v>167</v>
      </c>
      <c r="I4" s="6">
        <v>0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tr">
        <f>PROPER(TRIM(B4))</f>
        <v xml:space="preserve">Dilshod Raxmonov</v>
      </c>
      <c r="Q4" s="6" t="str">
        <f>PROPER(TRIM(C4))</f>
        <v>Registon</v>
      </c>
      <c r="R4" s="6" t="str">
        <f>PROPER(TRIM(D4))</f>
        <v>Samarqand</v>
      </c>
      <c r="S4" s="6" t="str">
        <f>"+"&amp;LEFT(E4,3)&amp;"-"&amp;MID(E4,4,2)&amp;"-"&amp;RIGHT(E4,7)</f>
        <v>+998-90-9998877</v>
      </c>
      <c r="T4" s="6" t="str">
        <f>LOWER(F4)</f>
        <v>abdulloh@gmail.com</v>
      </c>
      <c r="U4" s="6" t="str">
        <f>PROPER(TRIM(G4))</f>
        <v>Erkak</v>
      </c>
      <c r="V4" s="6" t="str">
        <f>UPPER(TRIM(H4))</f>
        <v>AKTIV</v>
      </c>
      <c r="W4" s="6" t="str">
        <f>MID(A4,6,3)</f>
        <v>003</v>
      </c>
      <c r="X4" s="6" t="str">
        <f>TRIM(J4)</f>
        <v>1995-05-12</v>
      </c>
      <c r="Y4" s="6" t="str">
        <f>UPPER(TRIM(K4))</f>
        <v>VIP</v>
      </c>
      <c r="Z4" s="6" t="str">
        <f>TRIM(L4)</f>
        <v xml:space="preserve">8600 1234 5678 9012</v>
      </c>
      <c r="AA4" s="6" t="str">
        <f>TRIM(M4)</f>
        <v>2023-01-12</v>
      </c>
      <c r="AB4" s="6" t="str">
        <f>PROPER(TRIM(N4))</f>
        <v xml:space="preserve">Yaxshi Mijoz</v>
      </c>
      <c r="AC4" s="6" t="str">
        <f>UPPER(TRIM(O4))</f>
        <v>SALE10</v>
      </c>
    </row>
    <row r="5">
      <c r="A5" s="6" t="s">
        <v>190</v>
      </c>
      <c r="B5" s="6" t="s">
        <v>191</v>
      </c>
      <c r="C5" s="6" t="s">
        <v>192</v>
      </c>
      <c r="D5" s="6" t="s">
        <v>193</v>
      </c>
      <c r="E5" s="10">
        <v>998935551122</v>
      </c>
      <c r="F5" s="6" t="s">
        <v>177</v>
      </c>
      <c r="G5" s="6" t="s">
        <v>178</v>
      </c>
      <c r="H5" s="6" t="s">
        <v>179</v>
      </c>
      <c r="I5" s="6">
        <v>120000</v>
      </c>
      <c r="J5" s="6" t="s">
        <v>180</v>
      </c>
      <c r="K5" s="6" t="s">
        <v>181</v>
      </c>
      <c r="L5" s="6" t="s">
        <v>182</v>
      </c>
      <c r="M5" s="6" t="s">
        <v>183</v>
      </c>
      <c r="N5" s="6" t="s">
        <v>184</v>
      </c>
      <c r="O5" s="6" t="s">
        <v>185</v>
      </c>
      <c r="P5" s="6" t="str">
        <f>PROPER(TRIM(B5))</f>
        <v xml:space="preserve">Jashon Abdullaev</v>
      </c>
      <c r="Q5" s="6" t="str">
        <f>PROPER(TRIM(C5))</f>
        <v xml:space="preserve">Markaz 22</v>
      </c>
      <c r="R5" s="6" t="str">
        <f>PROPER(TRIM(D5))</f>
        <v>Andijon</v>
      </c>
      <c r="S5" s="6" t="str">
        <f>"+"&amp;LEFT(E5,3)&amp;"-"&amp;MID(E5,4,2)&amp;"-"&amp;RIGHT(E5,7)</f>
        <v>+998-93-5551122</v>
      </c>
      <c r="T5" s="6" t="str">
        <f>LOWER(F5)</f>
        <v>sarvar@mail.com</v>
      </c>
      <c r="U5" s="6" t="str">
        <f>PROPER(TRIM(G5))</f>
        <v>Erkak</v>
      </c>
      <c r="V5" s="6" t="str">
        <f>UPPER(TRIM(H5))</f>
        <v>QARZDOR</v>
      </c>
      <c r="W5" s="6" t="str">
        <f>MID(A5,6,3)</f>
        <v>004</v>
      </c>
      <c r="X5" s="6" t="str">
        <f>TRIM(J5)</f>
        <v>1998-11-02</v>
      </c>
      <c r="Y5" s="6" t="str">
        <f>UPPER(TRIM(K5))</f>
        <v>ODDIY</v>
      </c>
      <c r="Z5" s="6" t="str">
        <f>TRIM(L5)</f>
        <v xml:space="preserve">9860 5555 4444 3333</v>
      </c>
      <c r="AA5" s="6" t="str">
        <f>TRIM(M5)</f>
        <v>2023-02-15</v>
      </c>
      <c r="AB5" s="6" t="str">
        <f>PROPER(TRIM(N5))</f>
        <v>Yangi</v>
      </c>
      <c r="AC5" s="6" t="str">
        <f>UPPER(TRIM(O5))</f>
        <v>NEW20</v>
      </c>
    </row>
    <row r="6">
      <c r="A6" s="6" t="s">
        <v>194</v>
      </c>
      <c r="B6" s="6" t="s">
        <v>195</v>
      </c>
      <c r="C6" s="6" t="s">
        <v>196</v>
      </c>
      <c r="D6" s="6" t="s">
        <v>197</v>
      </c>
      <c r="E6" s="10">
        <v>998909091212</v>
      </c>
      <c r="F6" s="6" t="s">
        <v>165</v>
      </c>
      <c r="G6" s="6" t="s">
        <v>166</v>
      </c>
      <c r="H6" s="6" t="s">
        <v>167</v>
      </c>
      <c r="I6" s="6">
        <v>0</v>
      </c>
      <c r="J6" s="6" t="s">
        <v>168</v>
      </c>
      <c r="K6" s="6" t="s">
        <v>169</v>
      </c>
      <c r="L6" s="6" t="s">
        <v>170</v>
      </c>
      <c r="M6" s="6" t="s">
        <v>171</v>
      </c>
      <c r="N6" s="6" t="s">
        <v>172</v>
      </c>
      <c r="O6" s="6" t="s">
        <v>173</v>
      </c>
      <c r="P6" s="6" t="str">
        <f>PROPER(TRIM(B6))</f>
        <v xml:space="preserve">Shoxrux Yuldashev</v>
      </c>
      <c r="Q6" s="6" t="str">
        <f>PROPER(TRIM(C6))</f>
        <v xml:space="preserve">Chortoq 10</v>
      </c>
      <c r="R6" s="6" t="str">
        <f>PROPER(TRIM(D6))</f>
        <v>Namangan</v>
      </c>
      <c r="S6" s="6" t="str">
        <f>"+"&amp;LEFT(E6,3)&amp;"-"&amp;MID(E6,4,2)&amp;"-"&amp;RIGHT(E6,7)</f>
        <v>+998-90-9091212</v>
      </c>
      <c r="T6" s="6" t="str">
        <f>LOWER(F6)</f>
        <v>abdulloh@gmail.com</v>
      </c>
      <c r="U6" s="6" t="str">
        <f>PROPER(TRIM(G6))</f>
        <v>Erkak</v>
      </c>
      <c r="V6" s="6" t="str">
        <f>UPPER(TRIM(H6))</f>
        <v>AKTIV</v>
      </c>
      <c r="W6" s="6" t="str">
        <f>MID(A6,6,3)</f>
        <v>005</v>
      </c>
      <c r="X6" s="6" t="str">
        <f>TRIM(J6)</f>
        <v>1995-05-12</v>
      </c>
      <c r="Y6" s="6" t="str">
        <f>UPPER(TRIM(K6))</f>
        <v>VIP</v>
      </c>
      <c r="Z6" s="6" t="str">
        <f>TRIM(L6)</f>
        <v xml:space="preserve">8600 1234 5678 9012</v>
      </c>
      <c r="AA6" s="6" t="str">
        <f>TRIM(M6)</f>
        <v>2023-01-12</v>
      </c>
      <c r="AB6" s="6" t="str">
        <f>PROPER(TRIM(N6))</f>
        <v xml:space="preserve">Yaxshi Mijoz</v>
      </c>
      <c r="AC6" s="6" t="str">
        <f>UPPER(TRIM(O6))</f>
        <v>SALE10</v>
      </c>
    </row>
    <row r="7">
      <c r="A7" s="6" t="s">
        <v>198</v>
      </c>
      <c r="B7" s="6" t="s">
        <v>199</v>
      </c>
      <c r="C7" s="6" t="s">
        <v>200</v>
      </c>
      <c r="D7" s="6" t="s">
        <v>164</v>
      </c>
      <c r="E7" s="10">
        <v>998938887766</v>
      </c>
      <c r="F7" s="6" t="s">
        <v>177</v>
      </c>
      <c r="G7" s="6" t="s">
        <v>178</v>
      </c>
      <c r="H7" s="6" t="s">
        <v>179</v>
      </c>
      <c r="I7" s="6">
        <v>120000</v>
      </c>
      <c r="J7" s="6" t="s">
        <v>180</v>
      </c>
      <c r="K7" s="6" t="s">
        <v>181</v>
      </c>
      <c r="L7" s="6" t="s">
        <v>182</v>
      </c>
      <c r="M7" s="6" t="s">
        <v>183</v>
      </c>
      <c r="N7" s="6" t="s">
        <v>184</v>
      </c>
      <c r="O7" s="6" t="s">
        <v>185</v>
      </c>
      <c r="P7" s="6" t="str">
        <f>PROPER(TRIM(B7))</f>
        <v xml:space="preserve">Akmal Toshpulatov</v>
      </c>
      <c r="Q7" s="6" t="str">
        <f>PROPER(TRIM(C7))</f>
        <v xml:space="preserve">Olmazor 8</v>
      </c>
      <c r="R7" s="6" t="str">
        <f>PROPER(TRIM(D7))</f>
        <v>Toshkent</v>
      </c>
      <c r="S7" s="6" t="str">
        <f>"+"&amp;LEFT(E7,3)&amp;"-"&amp;MID(E7,4,2)&amp;"-"&amp;RIGHT(E7,7)</f>
        <v>+998-93-8887766</v>
      </c>
      <c r="T7" s="6" t="str">
        <f>LOWER(F7)</f>
        <v>sarvar@mail.com</v>
      </c>
      <c r="U7" s="6" t="str">
        <f>PROPER(TRIM(G7))</f>
        <v>Erkak</v>
      </c>
      <c r="V7" s="6" t="str">
        <f>UPPER(TRIM(H7))</f>
        <v>QARZDOR</v>
      </c>
      <c r="W7" s="6" t="str">
        <f>MID(A7,6,3)</f>
        <v>006</v>
      </c>
      <c r="X7" s="6" t="str">
        <f>TRIM(J7)</f>
        <v>1998-11-02</v>
      </c>
      <c r="Y7" s="6" t="str">
        <f>UPPER(TRIM(K7))</f>
        <v>ODDIY</v>
      </c>
      <c r="Z7" s="6" t="str">
        <f>TRIM(L7)</f>
        <v xml:space="preserve">9860 5555 4444 3333</v>
      </c>
      <c r="AA7" s="6" t="str">
        <f>TRIM(M7)</f>
        <v>2023-02-15</v>
      </c>
      <c r="AB7" s="6" t="str">
        <f>PROPER(TRIM(N7))</f>
        <v>Yangi</v>
      </c>
      <c r="AC7" s="6" t="str">
        <f>UPPER(TRIM(O7))</f>
        <v>NEW20</v>
      </c>
    </row>
    <row r="8">
      <c r="A8" s="6" t="s">
        <v>201</v>
      </c>
      <c r="B8" s="6" t="s">
        <v>202</v>
      </c>
      <c r="C8" s="6" t="s">
        <v>203</v>
      </c>
      <c r="D8" s="6" t="s">
        <v>189</v>
      </c>
      <c r="E8" s="10">
        <v>998934445566</v>
      </c>
      <c r="F8" s="6" t="s">
        <v>165</v>
      </c>
      <c r="G8" s="6" t="s">
        <v>166</v>
      </c>
      <c r="H8" s="6" t="s">
        <v>167</v>
      </c>
      <c r="I8" s="6">
        <v>0</v>
      </c>
      <c r="J8" s="6" t="s">
        <v>168</v>
      </c>
      <c r="K8" s="6" t="s">
        <v>169</v>
      </c>
      <c r="L8" s="6" t="s">
        <v>170</v>
      </c>
      <c r="M8" s="6" t="s">
        <v>171</v>
      </c>
      <c r="N8" s="6" t="s">
        <v>172</v>
      </c>
      <c r="O8" s="6" t="s">
        <v>173</v>
      </c>
      <c r="P8" s="6" t="str">
        <f>PROPER(TRIM(B8))</f>
        <v xml:space="preserve">Bekzod Rustamov</v>
      </c>
      <c r="Q8" s="6" t="str">
        <f>PROPER(TRIM(C8))</f>
        <v xml:space="preserve">Urgut 14</v>
      </c>
      <c r="R8" s="6" t="str">
        <f>PROPER(TRIM(D8))</f>
        <v>Samarqand</v>
      </c>
      <c r="S8" s="6" t="str">
        <f>"+"&amp;LEFT(E8,3)&amp;"-"&amp;MID(E8,4,2)&amp;"-"&amp;RIGHT(E8,7)</f>
        <v>+998-93-4445566</v>
      </c>
      <c r="T8" s="6" t="str">
        <f>LOWER(F8)</f>
        <v>abdulloh@gmail.com</v>
      </c>
      <c r="U8" s="6" t="str">
        <f>PROPER(TRIM(G8))</f>
        <v>Erkak</v>
      </c>
      <c r="V8" s="6" t="str">
        <f>UPPER(TRIM(H8))</f>
        <v>AKTIV</v>
      </c>
      <c r="W8" s="6" t="str">
        <f>MID(A8,6,3)</f>
        <v>007</v>
      </c>
      <c r="X8" s="6" t="str">
        <f>TRIM(J8)</f>
        <v>1995-05-12</v>
      </c>
      <c r="Y8" s="6" t="str">
        <f>UPPER(TRIM(K8))</f>
        <v>VIP</v>
      </c>
      <c r="Z8" s="6" t="str">
        <f>TRIM(L8)</f>
        <v xml:space="preserve">8600 1234 5678 9012</v>
      </c>
      <c r="AA8" s="6" t="str">
        <f>TRIM(M8)</f>
        <v>2023-01-12</v>
      </c>
      <c r="AB8" s="6" t="str">
        <f>PROPER(TRIM(N8))</f>
        <v xml:space="preserve">Yaxshi Mijoz</v>
      </c>
      <c r="AC8" s="6" t="str">
        <f>UPPER(TRIM(O8))</f>
        <v>SALE10</v>
      </c>
    </row>
    <row r="9">
      <c r="A9" s="6" t="s">
        <v>204</v>
      </c>
      <c r="B9" s="6" t="s">
        <v>205</v>
      </c>
      <c r="C9" s="6" t="s">
        <v>206</v>
      </c>
      <c r="D9" s="6" t="s">
        <v>193</v>
      </c>
      <c r="E9" s="10">
        <v>998901119988</v>
      </c>
      <c r="F9" s="6" t="s">
        <v>177</v>
      </c>
      <c r="G9" s="6" t="s">
        <v>178</v>
      </c>
      <c r="H9" s="6" t="s">
        <v>179</v>
      </c>
      <c r="I9" s="6">
        <v>120000</v>
      </c>
      <c r="J9" s="6" t="s">
        <v>180</v>
      </c>
      <c r="K9" s="6" t="s">
        <v>181</v>
      </c>
      <c r="L9" s="6" t="s">
        <v>182</v>
      </c>
      <c r="M9" s="6" t="s">
        <v>183</v>
      </c>
      <c r="N9" s="6" t="s">
        <v>184</v>
      </c>
      <c r="O9" s="6" t="s">
        <v>185</v>
      </c>
      <c r="P9" s="6" t="str">
        <f>PROPER(TRIM(B9))</f>
        <v xml:space="preserve">Murod Karimov</v>
      </c>
      <c r="Q9" s="6" t="str">
        <f>PROPER(TRIM(C9))</f>
        <v xml:space="preserve">Asaka 4</v>
      </c>
      <c r="R9" s="6" t="str">
        <f>PROPER(TRIM(D9))</f>
        <v>Andijon</v>
      </c>
      <c r="S9" s="6" t="str">
        <f>"+"&amp;LEFT(E9,3)&amp;"-"&amp;MID(E9,4,2)&amp;"-"&amp;RIGHT(E9,7)</f>
        <v>+998-90-1119988</v>
      </c>
      <c r="T9" s="6" t="str">
        <f>LOWER(F9)</f>
        <v>sarvar@mail.com</v>
      </c>
      <c r="U9" s="6" t="str">
        <f>PROPER(TRIM(G9))</f>
        <v>Erkak</v>
      </c>
      <c r="V9" s="6" t="str">
        <f>UPPER(TRIM(H9))</f>
        <v>QARZDOR</v>
      </c>
      <c r="W9" s="6" t="str">
        <f>MID(A9,6,3)</f>
        <v>008</v>
      </c>
      <c r="X9" s="6" t="str">
        <f>TRIM(J9)</f>
        <v>1998-11-02</v>
      </c>
      <c r="Y9" s="6" t="str">
        <f>UPPER(TRIM(K9))</f>
        <v>ODDIY</v>
      </c>
      <c r="Z9" s="6" t="str">
        <f>TRIM(L9)</f>
        <v xml:space="preserve">9860 5555 4444 3333</v>
      </c>
      <c r="AA9" s="6" t="str">
        <f>TRIM(M9)</f>
        <v>2023-02-15</v>
      </c>
      <c r="AB9" s="6" t="str">
        <f>PROPER(TRIM(N9))</f>
        <v>Yangi</v>
      </c>
      <c r="AC9" s="6" t="str">
        <f>UPPER(TRIM(O9))</f>
        <v>NEW20</v>
      </c>
    </row>
    <row r="10">
      <c r="A10" s="6" t="s">
        <v>207</v>
      </c>
      <c r="B10" s="6" t="s">
        <v>208</v>
      </c>
      <c r="C10" s="6" t="s">
        <v>209</v>
      </c>
      <c r="D10" s="6" t="s">
        <v>164</v>
      </c>
      <c r="E10" s="10">
        <v>998932223344</v>
      </c>
      <c r="F10" s="6" t="s">
        <v>165</v>
      </c>
      <c r="G10" s="6" t="s">
        <v>166</v>
      </c>
      <c r="H10" s="6" t="s">
        <v>167</v>
      </c>
      <c r="I10" s="6">
        <v>0</v>
      </c>
      <c r="J10" s="6" t="s">
        <v>168</v>
      </c>
      <c r="K10" s="6" t="s">
        <v>169</v>
      </c>
      <c r="L10" s="6" t="s">
        <v>170</v>
      </c>
      <c r="M10" s="6" t="s">
        <v>171</v>
      </c>
      <c r="N10" s="6" t="s">
        <v>172</v>
      </c>
      <c r="O10" s="6" t="s">
        <v>173</v>
      </c>
      <c r="P10" s="6" t="str">
        <f>PROPER(TRIM(B10))</f>
        <v xml:space="preserve">Ilhom Rahimov</v>
      </c>
      <c r="Q10" s="6" t="str">
        <f>PROPER(TRIM(C10))</f>
        <v xml:space="preserve">Sergeli 6</v>
      </c>
      <c r="R10" s="6" t="str">
        <f>PROPER(TRIM(D10))</f>
        <v>Toshkent</v>
      </c>
      <c r="S10" s="6" t="str">
        <f>"+"&amp;LEFT(E10,3)&amp;"-"&amp;MID(E10,4,2)&amp;"-"&amp;RIGHT(E10,7)</f>
        <v>+998-93-2223344</v>
      </c>
      <c r="T10" s="6" t="str">
        <f>LOWER(F10)</f>
        <v>abdulloh@gmail.com</v>
      </c>
      <c r="U10" s="6" t="str">
        <f>PROPER(TRIM(G10))</f>
        <v>Erkak</v>
      </c>
      <c r="V10" s="6" t="str">
        <f>UPPER(TRIM(H10))</f>
        <v>AKTIV</v>
      </c>
      <c r="W10" s="6" t="str">
        <f>MID(A10,6,3)</f>
        <v>009</v>
      </c>
      <c r="X10" s="6" t="str">
        <f>TRIM(J10)</f>
        <v>1995-05-12</v>
      </c>
      <c r="Y10" s="6" t="str">
        <f>UPPER(TRIM(K10))</f>
        <v>VIP</v>
      </c>
      <c r="Z10" s="6" t="str">
        <f>TRIM(L10)</f>
        <v xml:space="preserve">8600 1234 5678 9012</v>
      </c>
      <c r="AA10" s="6" t="str">
        <f>TRIM(M10)</f>
        <v>2023-01-12</v>
      </c>
      <c r="AB10" s="6" t="str">
        <f>PROPER(TRIM(N10))</f>
        <v xml:space="preserve">Yaxshi Mijoz</v>
      </c>
      <c r="AC10" s="6" t="str">
        <f>UPPER(TRIM(O10))</f>
        <v>SALE10</v>
      </c>
    </row>
    <row r="11">
      <c r="A11" s="6" t="s">
        <v>210</v>
      </c>
      <c r="B11" s="6" t="s">
        <v>211</v>
      </c>
      <c r="C11" s="6" t="s">
        <v>212</v>
      </c>
      <c r="D11" s="6" t="s">
        <v>197</v>
      </c>
      <c r="E11" s="10">
        <v>998909999111</v>
      </c>
      <c r="F11" s="6" t="s">
        <v>177</v>
      </c>
      <c r="G11" s="6" t="s">
        <v>178</v>
      </c>
      <c r="H11" s="6" t="s">
        <v>179</v>
      </c>
      <c r="I11" s="6">
        <v>120000</v>
      </c>
      <c r="J11" s="6" t="s">
        <v>180</v>
      </c>
      <c r="K11" s="6" t="s">
        <v>181</v>
      </c>
      <c r="L11" s="6" t="s">
        <v>182</v>
      </c>
      <c r="M11" s="6" t="s">
        <v>183</v>
      </c>
      <c r="N11" s="6" t="s">
        <v>184</v>
      </c>
      <c r="O11" s="6" t="s">
        <v>185</v>
      </c>
      <c r="P11" s="6" t="str">
        <f>PROPER(TRIM(B11))</f>
        <v xml:space="preserve">Jasur Aliyev</v>
      </c>
      <c r="Q11" s="6" t="str">
        <f>PROPER(TRIM(C11))</f>
        <v xml:space="preserve">Pop 21</v>
      </c>
      <c r="R11" s="6" t="str">
        <f>PROPER(TRIM(D11))</f>
        <v>Namangan</v>
      </c>
      <c r="S11" s="6" t="str">
        <f>"+"&amp;LEFT(E11,3)&amp;"-"&amp;MID(E11,4,2)&amp;"-"&amp;RIGHT(E11,7)</f>
        <v>+998-90-9999111</v>
      </c>
      <c r="T11" s="6" t="str">
        <f>LOWER(F11)</f>
        <v>sarvar@mail.com</v>
      </c>
      <c r="U11" s="6" t="str">
        <f>PROPER(TRIM(G11))</f>
        <v>Erkak</v>
      </c>
      <c r="V11" s="6" t="str">
        <f>UPPER(TRIM(H11))</f>
        <v>QARZDOR</v>
      </c>
      <c r="W11" s="6" t="str">
        <f>MID(A11,6,3)</f>
        <v>010</v>
      </c>
      <c r="X11" s="6" t="str">
        <f>TRIM(J11)</f>
        <v>1998-11-02</v>
      </c>
      <c r="Y11" s="6" t="str">
        <f>UPPER(TRIM(K11))</f>
        <v>ODDIY</v>
      </c>
      <c r="Z11" s="6" t="str">
        <f>TRIM(L11)</f>
        <v xml:space="preserve">9860 5555 4444 3333</v>
      </c>
      <c r="AA11" s="6" t="str">
        <f>TRIM(M11)</f>
        <v>2023-02-15</v>
      </c>
      <c r="AB11" s="6" t="str">
        <f>PROPER(TRIM(N11))</f>
        <v>Yangi</v>
      </c>
      <c r="AC11" s="6" t="str">
        <f>UPPER(TRIM(O11))</f>
        <v>NEW20</v>
      </c>
    </row>
    <row r="12">
      <c r="A12" s="6" t="s">
        <v>213</v>
      </c>
      <c r="B12" s="6" t="s">
        <v>214</v>
      </c>
      <c r="C12" s="6" t="s">
        <v>215</v>
      </c>
      <c r="D12" s="6" t="s">
        <v>164</v>
      </c>
      <c r="E12" s="10">
        <v>998935558877</v>
      </c>
      <c r="F12" s="6" t="s">
        <v>165</v>
      </c>
      <c r="G12" s="6" t="s">
        <v>166</v>
      </c>
      <c r="H12" s="6" t="s">
        <v>167</v>
      </c>
      <c r="I12" s="6">
        <v>0</v>
      </c>
      <c r="J12" s="6" t="s">
        <v>168</v>
      </c>
      <c r="K12" s="6" t="s">
        <v>169</v>
      </c>
      <c r="L12" s="6" t="s">
        <v>170</v>
      </c>
      <c r="M12" s="6" t="s">
        <v>171</v>
      </c>
      <c r="N12" s="6" t="s">
        <v>172</v>
      </c>
      <c r="O12" s="6" t="s">
        <v>173</v>
      </c>
      <c r="P12" s="6" t="str">
        <f>PROPER(TRIM(B12))</f>
        <v xml:space="preserve">Odil Abdullayev</v>
      </c>
      <c r="Q12" s="6" t="str">
        <f>PROPER(TRIM(C12))</f>
        <v xml:space="preserve">Yunusobod 19</v>
      </c>
      <c r="R12" s="6" t="str">
        <f>PROPER(TRIM(D12))</f>
        <v>Toshkent</v>
      </c>
      <c r="S12" s="6" t="str">
        <f>"+"&amp;LEFT(E12,3)&amp;"-"&amp;MID(E12,4,2)&amp;"-"&amp;RIGHT(E12,7)</f>
        <v>+998-93-5558877</v>
      </c>
      <c r="T12" s="6" t="str">
        <f>LOWER(F12)</f>
        <v>abdulloh@gmail.com</v>
      </c>
      <c r="U12" s="6" t="str">
        <f>PROPER(TRIM(G12))</f>
        <v>Erkak</v>
      </c>
      <c r="V12" s="6" t="str">
        <f>UPPER(TRIM(H12))</f>
        <v>AKTIV</v>
      </c>
      <c r="W12" s="6" t="str">
        <f>MID(A12,6,3)</f>
        <v>011</v>
      </c>
      <c r="X12" s="6" t="str">
        <f>TRIM(J12)</f>
        <v>1995-05-12</v>
      </c>
      <c r="Y12" s="6" t="str">
        <f>UPPER(TRIM(K12))</f>
        <v>VIP</v>
      </c>
      <c r="Z12" s="6" t="str">
        <f>TRIM(L12)</f>
        <v xml:space="preserve">8600 1234 5678 9012</v>
      </c>
      <c r="AA12" s="6" t="str">
        <f>TRIM(M12)</f>
        <v>2023-01-12</v>
      </c>
      <c r="AB12" s="6" t="str">
        <f>PROPER(TRIM(N12))</f>
        <v xml:space="preserve">Yaxshi Mijoz</v>
      </c>
      <c r="AC12" s="6" t="str">
        <f>UPPER(TRIM(O12))</f>
        <v>SALE10</v>
      </c>
    </row>
    <row r="13">
      <c r="A13" s="6" t="s">
        <v>216</v>
      </c>
      <c r="B13" s="6" t="s">
        <v>217</v>
      </c>
      <c r="C13" s="6" t="s">
        <v>218</v>
      </c>
      <c r="D13" s="6" t="s">
        <v>189</v>
      </c>
      <c r="E13" s="10">
        <v>998933334455</v>
      </c>
      <c r="F13" s="6" t="s">
        <v>177</v>
      </c>
      <c r="G13" s="6" t="s">
        <v>178</v>
      </c>
      <c r="H13" s="6" t="s">
        <v>179</v>
      </c>
      <c r="I13" s="6">
        <v>120000</v>
      </c>
      <c r="J13" s="6" t="s">
        <v>180</v>
      </c>
      <c r="K13" s="6" t="s">
        <v>181</v>
      </c>
      <c r="L13" s="6" t="s">
        <v>182</v>
      </c>
      <c r="M13" s="6" t="s">
        <v>183</v>
      </c>
      <c r="N13" s="6" t="s">
        <v>184</v>
      </c>
      <c r="O13" s="6" t="s">
        <v>185</v>
      </c>
      <c r="P13" s="6" t="str">
        <f>PROPER(TRIM(B13))</f>
        <v xml:space="preserve">Sarvar Raxmonov</v>
      </c>
      <c r="Q13" s="6" t="str">
        <f>PROPER(TRIM(C13))</f>
        <v xml:space="preserve">Payariq 7</v>
      </c>
      <c r="R13" s="6" t="str">
        <f>PROPER(TRIM(D13))</f>
        <v>Samarqand</v>
      </c>
      <c r="S13" s="6" t="str">
        <f>"+"&amp;LEFT(E13,3)&amp;"-"&amp;MID(E13,4,2)&amp;"-"&amp;RIGHT(E13,7)</f>
        <v>+998-93-3334455</v>
      </c>
      <c r="T13" s="6" t="str">
        <f>LOWER(F13)</f>
        <v>sarvar@mail.com</v>
      </c>
      <c r="U13" s="6" t="str">
        <f>PROPER(TRIM(G13))</f>
        <v>Erkak</v>
      </c>
      <c r="V13" s="6" t="str">
        <f>UPPER(TRIM(H13))</f>
        <v>QARZDOR</v>
      </c>
      <c r="W13" s="6" t="str">
        <f>MID(A13,6,3)</f>
        <v>012</v>
      </c>
      <c r="X13" s="6" t="str">
        <f>TRIM(J13)</f>
        <v>1998-11-02</v>
      </c>
      <c r="Y13" s="6" t="str">
        <f>UPPER(TRIM(K13))</f>
        <v>ODDIY</v>
      </c>
      <c r="Z13" s="6" t="str">
        <f>TRIM(L13)</f>
        <v xml:space="preserve">9860 5555 4444 3333</v>
      </c>
      <c r="AA13" s="6" t="str">
        <f>TRIM(M13)</f>
        <v>2023-02-15</v>
      </c>
      <c r="AB13" s="6" t="str">
        <f>PROPER(TRIM(N13))</f>
        <v>Yangi</v>
      </c>
      <c r="AC13" s="6" t="str">
        <f>UPPER(TRIM(O13))</f>
        <v>NEW20</v>
      </c>
    </row>
    <row r="14">
      <c r="A14" s="6" t="s">
        <v>219</v>
      </c>
      <c r="B14" s="6" t="s">
        <v>220</v>
      </c>
      <c r="C14" s="6" t="s">
        <v>221</v>
      </c>
      <c r="D14" s="6" t="s">
        <v>164</v>
      </c>
      <c r="E14" s="10">
        <v>998934445577</v>
      </c>
      <c r="F14" s="6" t="s">
        <v>165</v>
      </c>
      <c r="G14" s="6" t="s">
        <v>166</v>
      </c>
      <c r="H14" s="6" t="s">
        <v>167</v>
      </c>
      <c r="I14" s="6">
        <v>0</v>
      </c>
      <c r="J14" s="6" t="s">
        <v>168</v>
      </c>
      <c r="K14" s="6" t="s">
        <v>169</v>
      </c>
      <c r="L14" s="6" t="s">
        <v>170</v>
      </c>
      <c r="M14" s="6" t="s">
        <v>171</v>
      </c>
      <c r="N14" s="6" t="s">
        <v>172</v>
      </c>
      <c r="O14" s="6" t="s">
        <v>173</v>
      </c>
      <c r="P14" s="6" t="str">
        <f>PROPER(TRIM(B14))</f>
        <v xml:space="preserve">Abbos Karimov</v>
      </c>
      <c r="Q14" s="6" t="str">
        <f>PROPER(TRIM(C14))</f>
        <v xml:space="preserve">Bektemir 2</v>
      </c>
      <c r="R14" s="6" t="str">
        <f>PROPER(TRIM(D14))</f>
        <v>Toshkent</v>
      </c>
      <c r="S14" s="6" t="str">
        <f>"+"&amp;LEFT(E14,3)&amp;"-"&amp;MID(E14,4,2)&amp;"-"&amp;RIGHT(E14,7)</f>
        <v>+998-93-4445577</v>
      </c>
      <c r="T14" s="6" t="str">
        <f>LOWER(F14)</f>
        <v>abdulloh@gmail.com</v>
      </c>
      <c r="U14" s="6" t="str">
        <f>PROPER(TRIM(G14))</f>
        <v>Erkak</v>
      </c>
      <c r="V14" s="6" t="str">
        <f>UPPER(TRIM(H14))</f>
        <v>AKTIV</v>
      </c>
      <c r="W14" s="6" t="str">
        <f>MID(A14,6,3)</f>
        <v>013</v>
      </c>
      <c r="X14" s="6" t="str">
        <f>TRIM(J14)</f>
        <v>1995-05-12</v>
      </c>
      <c r="Y14" s="6" t="str">
        <f>UPPER(TRIM(K14))</f>
        <v>VIP</v>
      </c>
      <c r="Z14" s="6" t="str">
        <f>TRIM(L14)</f>
        <v xml:space="preserve">8600 1234 5678 9012</v>
      </c>
      <c r="AA14" s="6" t="str">
        <f>TRIM(M14)</f>
        <v>2023-01-12</v>
      </c>
      <c r="AB14" s="6" t="str">
        <f>PROPER(TRIM(N14))</f>
        <v xml:space="preserve">Yaxshi Mijoz</v>
      </c>
      <c r="AC14" s="6" t="str">
        <f>UPPER(TRIM(O14))</f>
        <v>SALE10</v>
      </c>
    </row>
    <row r="15">
      <c r="A15" s="6" t="s">
        <v>222</v>
      </c>
      <c r="B15" s="6" t="s">
        <v>223</v>
      </c>
      <c r="C15" s="6" t="s">
        <v>224</v>
      </c>
      <c r="D15" s="6" t="s">
        <v>193</v>
      </c>
      <c r="E15" s="10">
        <v>998909998822</v>
      </c>
      <c r="F15" s="6" t="s">
        <v>177</v>
      </c>
      <c r="G15" s="6" t="s">
        <v>178</v>
      </c>
      <c r="H15" s="6" t="s">
        <v>179</v>
      </c>
      <c r="I15" s="6">
        <v>120000</v>
      </c>
      <c r="J15" s="6" t="s">
        <v>180</v>
      </c>
      <c r="K15" s="6" t="s">
        <v>181</v>
      </c>
      <c r="L15" s="6" t="s">
        <v>182</v>
      </c>
      <c r="M15" s="6" t="s">
        <v>183</v>
      </c>
      <c r="N15" s="6" t="s">
        <v>184</v>
      </c>
      <c r="O15" s="6" t="s">
        <v>185</v>
      </c>
      <c r="P15" s="6" t="str">
        <f>PROPER(TRIM(B15))</f>
        <v xml:space="preserve">Dilshod Rustamov</v>
      </c>
      <c r="Q15" s="6" t="str">
        <f>PROPER(TRIM(C15))</f>
        <v xml:space="preserve">Baliqchi 18</v>
      </c>
      <c r="R15" s="6" t="str">
        <f>PROPER(TRIM(D15))</f>
        <v>Andijon</v>
      </c>
      <c r="S15" s="6" t="str">
        <f>"+"&amp;LEFT(E15,3)&amp;"-"&amp;MID(E15,4,2)&amp;"-"&amp;RIGHT(E15,7)</f>
        <v>+998-90-9998822</v>
      </c>
      <c r="T15" s="6" t="str">
        <f>LOWER(F15)</f>
        <v>sarvar@mail.com</v>
      </c>
      <c r="U15" s="6" t="str">
        <f>PROPER(TRIM(G15))</f>
        <v>Erkak</v>
      </c>
      <c r="V15" s="6" t="str">
        <f>UPPER(TRIM(H15))</f>
        <v>QARZDOR</v>
      </c>
      <c r="W15" s="6" t="str">
        <f>MID(A15,6,3)</f>
        <v>014</v>
      </c>
      <c r="X15" s="6" t="str">
        <f>TRIM(J15)</f>
        <v>1998-11-02</v>
      </c>
      <c r="Y15" s="6" t="str">
        <f>UPPER(TRIM(K15))</f>
        <v>ODDIY</v>
      </c>
      <c r="Z15" s="6" t="str">
        <f>TRIM(L15)</f>
        <v xml:space="preserve">9860 5555 4444 3333</v>
      </c>
      <c r="AA15" s="6" t="str">
        <f>TRIM(M15)</f>
        <v>2023-02-15</v>
      </c>
      <c r="AB15" s="6" t="str">
        <f>PROPER(TRIM(N15))</f>
        <v>Yangi</v>
      </c>
      <c r="AC15" s="6" t="str">
        <f>UPPER(TRIM(O15))</f>
        <v>NEW20</v>
      </c>
    </row>
    <row r="16">
      <c r="A16" s="6" t="s">
        <v>225</v>
      </c>
      <c r="B16" s="6" t="s">
        <v>226</v>
      </c>
      <c r="C16" s="6" t="s">
        <v>227</v>
      </c>
      <c r="D16" s="6" t="s">
        <v>164</v>
      </c>
      <c r="E16" s="10">
        <v>998938888999</v>
      </c>
      <c r="F16" s="6" t="s">
        <v>165</v>
      </c>
      <c r="G16" s="6" t="s">
        <v>166</v>
      </c>
      <c r="H16" s="6" t="s">
        <v>167</v>
      </c>
      <c r="I16" s="6">
        <v>0</v>
      </c>
      <c r="J16" s="6" t="s">
        <v>168</v>
      </c>
      <c r="K16" s="6" t="s">
        <v>169</v>
      </c>
      <c r="L16" s="6" t="s">
        <v>170</v>
      </c>
      <c r="M16" s="6" t="s">
        <v>171</v>
      </c>
      <c r="N16" s="6" t="s">
        <v>172</v>
      </c>
      <c r="O16" s="6" t="s">
        <v>173</v>
      </c>
      <c r="P16" s="6" t="str">
        <f>PROPER(TRIM(B16))</f>
        <v xml:space="preserve">Jalon Akbarov</v>
      </c>
      <c r="Q16" s="6" t="str">
        <f>PROPER(TRIM(C16))</f>
        <v xml:space="preserve">Chilonzor 33</v>
      </c>
      <c r="R16" s="6" t="str">
        <f>PROPER(TRIM(D16))</f>
        <v>Toshkent</v>
      </c>
      <c r="S16" s="6" t="str">
        <f>"+"&amp;LEFT(E16,3)&amp;"-"&amp;MID(E16,4,2)&amp;"-"&amp;RIGHT(E16,7)</f>
        <v>+998-93-8888999</v>
      </c>
      <c r="T16" s="6" t="str">
        <f>LOWER(F16)</f>
        <v>abdulloh@gmail.com</v>
      </c>
      <c r="U16" s="6" t="str">
        <f>PROPER(TRIM(G16))</f>
        <v>Erkak</v>
      </c>
      <c r="V16" s="6" t="str">
        <f>UPPER(TRIM(H16))</f>
        <v>AKTIV</v>
      </c>
      <c r="W16" s="6" t="str">
        <f>MID(A16,6,3)</f>
        <v>015</v>
      </c>
      <c r="X16" s="6" t="str">
        <f>TRIM(J16)</f>
        <v>1995-05-12</v>
      </c>
      <c r="Y16" s="6" t="str">
        <f>UPPER(TRIM(K16))</f>
        <v>VIP</v>
      </c>
      <c r="Z16" s="6" t="str">
        <f>TRIM(L16)</f>
        <v xml:space="preserve">8600 1234 5678 9012</v>
      </c>
      <c r="AA16" s="6" t="str">
        <f>TRIM(M16)</f>
        <v>2023-01-12</v>
      </c>
      <c r="AB16" s="6" t="str">
        <f>PROPER(TRIM(N16))</f>
        <v xml:space="preserve">Yaxshi Mijoz</v>
      </c>
      <c r="AC16" s="6" t="str">
        <f>UPPER(TRIM(O16))</f>
        <v>SALE10</v>
      </c>
    </row>
    <row r="17">
      <c r="A17" s="6" t="s">
        <v>228</v>
      </c>
      <c r="B17" s="6" t="s">
        <v>229</v>
      </c>
      <c r="C17" s="6" t="s">
        <v>230</v>
      </c>
      <c r="D17" s="6" t="s">
        <v>197</v>
      </c>
      <c r="E17" s="10">
        <v>998934567123</v>
      </c>
      <c r="F17" s="6" t="s">
        <v>177</v>
      </c>
      <c r="G17" s="6" t="s">
        <v>178</v>
      </c>
      <c r="H17" s="6" t="s">
        <v>179</v>
      </c>
      <c r="I17" s="6">
        <v>120000</v>
      </c>
      <c r="J17" s="6" t="s">
        <v>180</v>
      </c>
      <c r="K17" s="6" t="s">
        <v>181</v>
      </c>
      <c r="L17" s="6" t="s">
        <v>182</v>
      </c>
      <c r="M17" s="6" t="s">
        <v>183</v>
      </c>
      <c r="N17" s="6" t="s">
        <v>184</v>
      </c>
      <c r="O17" s="6" t="s">
        <v>185</v>
      </c>
      <c r="P17" s="6" t="str">
        <f>PROPER(TRIM(B17))</f>
        <v xml:space="preserve">Shodlik Nurmatov</v>
      </c>
      <c r="Q17" s="6" t="str">
        <f>PROPER(TRIM(C17))</f>
        <v xml:space="preserve">Mingbuloq 9</v>
      </c>
      <c r="R17" s="6" t="str">
        <f>PROPER(TRIM(D17))</f>
        <v>Namangan</v>
      </c>
      <c r="S17" s="6" t="str">
        <f>"+"&amp;LEFT(E17,3)&amp;"-"&amp;MID(E17,4,2)&amp;"-"&amp;RIGHT(E17,7)</f>
        <v>+998-93-4567123</v>
      </c>
      <c r="T17" s="6" t="str">
        <f>LOWER(F17)</f>
        <v>sarvar@mail.com</v>
      </c>
      <c r="U17" s="6" t="str">
        <f>PROPER(TRIM(G17))</f>
        <v>Erkak</v>
      </c>
      <c r="V17" s="6" t="str">
        <f>UPPER(TRIM(H17))</f>
        <v>QARZDOR</v>
      </c>
      <c r="W17" s="6" t="str">
        <f>MID(A17,6,3)</f>
        <v>016</v>
      </c>
      <c r="X17" s="6" t="str">
        <f>TRIM(J17)</f>
        <v>1998-11-02</v>
      </c>
      <c r="Y17" s="6" t="str">
        <f>UPPER(TRIM(K17))</f>
        <v>ODDIY</v>
      </c>
      <c r="Z17" s="6" t="str">
        <f>TRIM(L17)</f>
        <v xml:space="preserve">9860 5555 4444 3333</v>
      </c>
      <c r="AA17" s="6" t="str">
        <f>TRIM(M17)</f>
        <v>2023-02-15</v>
      </c>
      <c r="AB17" s="6" t="str">
        <f>PROPER(TRIM(N17))</f>
        <v>Yangi</v>
      </c>
      <c r="AC17" s="6" t="str">
        <f>UPPER(TRIM(O17))</f>
        <v>NEW20</v>
      </c>
    </row>
    <row r="18">
      <c r="A18" s="6" t="s">
        <v>231</v>
      </c>
      <c r="B18" s="6" t="s">
        <v>232</v>
      </c>
      <c r="C18" s="6" t="s">
        <v>233</v>
      </c>
      <c r="D18" s="6" t="s">
        <v>189</v>
      </c>
      <c r="E18" s="10">
        <v>998935678222</v>
      </c>
      <c r="F18" s="6" t="s">
        <v>165</v>
      </c>
      <c r="G18" s="6" t="s">
        <v>166</v>
      </c>
      <c r="H18" s="6" t="s">
        <v>167</v>
      </c>
      <c r="I18" s="6">
        <v>0</v>
      </c>
      <c r="J18" s="6" t="s">
        <v>168</v>
      </c>
      <c r="K18" s="6" t="s">
        <v>169</v>
      </c>
      <c r="L18" s="6" t="s">
        <v>170</v>
      </c>
      <c r="M18" s="6" t="s">
        <v>171</v>
      </c>
      <c r="N18" s="6" t="s">
        <v>172</v>
      </c>
      <c r="O18" s="6" t="s">
        <v>173</v>
      </c>
      <c r="P18" s="6" t="str">
        <f>PROPER(TRIM(B18))</f>
        <v xml:space="preserve">Abduraxmon Toirov</v>
      </c>
      <c r="Q18" s="6" t="str">
        <f>PROPER(TRIM(C18))</f>
        <v xml:space="preserve">Bulungur 16</v>
      </c>
      <c r="R18" s="6" t="str">
        <f>PROPER(TRIM(D18))</f>
        <v>Samarqand</v>
      </c>
      <c r="S18" s="6" t="str">
        <f>"+"&amp;LEFT(E18,3)&amp;"-"&amp;MID(E18,4,2)&amp;"-"&amp;RIGHT(E18,7)</f>
        <v>+998-93-5678222</v>
      </c>
      <c r="T18" s="6" t="str">
        <f>LOWER(F18)</f>
        <v>abdulloh@gmail.com</v>
      </c>
      <c r="U18" s="6" t="str">
        <f>PROPER(TRIM(G18))</f>
        <v>Erkak</v>
      </c>
      <c r="V18" s="6" t="str">
        <f>UPPER(TRIM(H18))</f>
        <v>AKTIV</v>
      </c>
      <c r="W18" s="6" t="str">
        <f>MID(A18,6,3)</f>
        <v>017</v>
      </c>
      <c r="X18" s="6" t="str">
        <f>TRIM(J18)</f>
        <v>1995-05-12</v>
      </c>
      <c r="Y18" s="6" t="str">
        <f>UPPER(TRIM(K18))</f>
        <v>VIP</v>
      </c>
      <c r="Z18" s="6" t="str">
        <f>TRIM(L18)</f>
        <v xml:space="preserve">8600 1234 5678 9012</v>
      </c>
      <c r="AA18" s="6" t="str">
        <f>TRIM(M18)</f>
        <v>2023-01-12</v>
      </c>
      <c r="AB18" s="6" t="str">
        <f>PROPER(TRIM(N18))</f>
        <v xml:space="preserve">Yaxshi Mijoz</v>
      </c>
      <c r="AC18" s="6" t="str">
        <f>UPPER(TRIM(O18))</f>
        <v>SALE10</v>
      </c>
    </row>
    <row r="19">
      <c r="A19" s="6" t="s">
        <v>234</v>
      </c>
      <c r="B19" s="6" t="s">
        <v>235</v>
      </c>
      <c r="C19" s="6" t="s">
        <v>236</v>
      </c>
      <c r="D19" s="6" t="s">
        <v>164</v>
      </c>
      <c r="E19" s="10">
        <v>998932345111</v>
      </c>
      <c r="F19" s="6" t="s">
        <v>177</v>
      </c>
      <c r="G19" s="6" t="s">
        <v>178</v>
      </c>
      <c r="H19" s="6" t="s">
        <v>179</v>
      </c>
      <c r="I19" s="6">
        <v>120000</v>
      </c>
      <c r="J19" s="6" t="s">
        <v>180</v>
      </c>
      <c r="K19" s="6" t="s">
        <v>181</v>
      </c>
      <c r="L19" s="6" t="s">
        <v>182</v>
      </c>
      <c r="M19" s="6" t="s">
        <v>183</v>
      </c>
      <c r="N19" s="6" t="s">
        <v>184</v>
      </c>
      <c r="O19" s="6" t="s">
        <v>185</v>
      </c>
      <c r="P19" s="6" t="str">
        <f>PROPER(TRIM(B19))</f>
        <v xml:space="preserve">Jashon Alimov</v>
      </c>
      <c r="Q19" s="6" t="str">
        <f>PROPER(TRIM(C19))</f>
        <v xml:space="preserve">Uchtepa 44</v>
      </c>
      <c r="R19" s="6" t="str">
        <f>PROPER(TRIM(D19))</f>
        <v>Toshkent</v>
      </c>
      <c r="S19" s="6" t="str">
        <f>"+"&amp;LEFT(E19,3)&amp;"-"&amp;MID(E19,4,2)&amp;"-"&amp;RIGHT(E19,7)</f>
        <v>+998-93-2345111</v>
      </c>
      <c r="T19" s="6" t="str">
        <f>LOWER(F19)</f>
        <v>sarvar@mail.com</v>
      </c>
      <c r="U19" s="6" t="str">
        <f>PROPER(TRIM(G19))</f>
        <v>Erkak</v>
      </c>
      <c r="V19" s="6" t="str">
        <f>UPPER(TRIM(H19))</f>
        <v>QARZDOR</v>
      </c>
      <c r="W19" s="6" t="str">
        <f>MID(A19,6,3)</f>
        <v>018</v>
      </c>
      <c r="X19" s="6" t="str">
        <f>TRIM(J19)</f>
        <v>1998-11-02</v>
      </c>
      <c r="Y19" s="6" t="str">
        <f>UPPER(TRIM(K19))</f>
        <v>ODDIY</v>
      </c>
      <c r="Z19" s="6" t="str">
        <f>TRIM(L19)</f>
        <v xml:space="preserve">9860 5555 4444 3333</v>
      </c>
      <c r="AA19" s="6" t="str">
        <f>TRIM(M19)</f>
        <v>2023-02-15</v>
      </c>
      <c r="AB19" s="6" t="str">
        <f>PROPER(TRIM(N19))</f>
        <v>Yangi</v>
      </c>
      <c r="AC19" s="6" t="str">
        <f>UPPER(TRIM(O19))</f>
        <v>NEW20</v>
      </c>
    </row>
    <row r="20">
      <c r="A20" s="6" t="s">
        <v>237</v>
      </c>
      <c r="B20" s="6" t="s">
        <v>238</v>
      </c>
      <c r="C20" s="6" t="s">
        <v>239</v>
      </c>
      <c r="D20" s="6" t="s">
        <v>164</v>
      </c>
      <c r="E20" s="10">
        <v>998934321987</v>
      </c>
      <c r="F20" s="6" t="s">
        <v>165</v>
      </c>
      <c r="G20" s="6" t="s">
        <v>166</v>
      </c>
      <c r="H20" s="6" t="s">
        <v>167</v>
      </c>
      <c r="I20" s="6">
        <v>0</v>
      </c>
      <c r="J20" s="6" t="s">
        <v>168</v>
      </c>
      <c r="K20" s="6" t="s">
        <v>169</v>
      </c>
      <c r="L20" s="6" t="s">
        <v>170</v>
      </c>
      <c r="M20" s="6" t="s">
        <v>171</v>
      </c>
      <c r="N20" s="6" t="s">
        <v>172</v>
      </c>
      <c r="O20" s="6" t="s">
        <v>173</v>
      </c>
      <c r="P20" s="6" t="str">
        <f>PROPER(TRIM(B20))</f>
        <v xml:space="preserve">Bekzod Abdullaev</v>
      </c>
      <c r="Q20" s="6" t="str">
        <f>PROPER(TRIM(C20))</f>
        <v xml:space="preserve">Mirzo Ulugbek 3</v>
      </c>
      <c r="R20" s="6" t="str">
        <f>PROPER(TRIM(D20))</f>
        <v>Toshkent</v>
      </c>
      <c r="S20" s="6" t="str">
        <f>"+"&amp;LEFT(E20,3)&amp;"-"&amp;MID(E20,4,2)&amp;"-"&amp;RIGHT(E20,7)</f>
        <v>+998-93-4321987</v>
      </c>
      <c r="T20" s="6" t="str">
        <f>LOWER(F20)</f>
        <v>abdulloh@gmail.com</v>
      </c>
      <c r="U20" s="6" t="str">
        <f>PROPER(TRIM(G20))</f>
        <v>Erkak</v>
      </c>
      <c r="V20" s="6" t="str">
        <f>UPPER(TRIM(H20))</f>
        <v>AKTIV</v>
      </c>
      <c r="W20" s="6" t="str">
        <f>MID(A20,6,3)</f>
        <v>019</v>
      </c>
      <c r="X20" s="6" t="str">
        <f>TRIM(J20)</f>
        <v>1995-05-12</v>
      </c>
      <c r="Y20" s="6" t="str">
        <f>UPPER(TRIM(K20))</f>
        <v>VIP</v>
      </c>
      <c r="Z20" s="6" t="str">
        <f>TRIM(L20)</f>
        <v xml:space="preserve">8600 1234 5678 9012</v>
      </c>
      <c r="AA20" s="6" t="str">
        <f>TRIM(M20)</f>
        <v>2023-01-12</v>
      </c>
      <c r="AB20" s="6" t="str">
        <f>PROPER(TRIM(N20))</f>
        <v xml:space="preserve">Yaxshi Mijoz</v>
      </c>
      <c r="AC20" s="6" t="str">
        <f>UPPER(TRIM(O20))</f>
        <v>SALE10</v>
      </c>
    </row>
    <row r="21">
      <c r="A21" s="6" t="s">
        <v>240</v>
      </c>
      <c r="B21" s="6" t="s">
        <v>241</v>
      </c>
      <c r="C21" s="6" t="s">
        <v>242</v>
      </c>
      <c r="D21" s="6" t="s">
        <v>193</v>
      </c>
      <c r="E21" s="10">
        <v>998933212111</v>
      </c>
      <c r="F21" s="6" t="s">
        <v>177</v>
      </c>
      <c r="G21" s="6" t="s">
        <v>178</v>
      </c>
      <c r="H21" s="6" t="s">
        <v>179</v>
      </c>
      <c r="I21" s="6">
        <v>120000</v>
      </c>
      <c r="J21" s="6" t="s">
        <v>180</v>
      </c>
      <c r="K21" s="6" t="s">
        <v>181</v>
      </c>
      <c r="L21" s="6" t="s">
        <v>182</v>
      </c>
      <c r="M21" s="6" t="s">
        <v>183</v>
      </c>
      <c r="N21" s="6" t="s">
        <v>184</v>
      </c>
      <c r="O21" s="6" t="s">
        <v>185</v>
      </c>
      <c r="P21" s="6" t="str">
        <f>PROPER(TRIM(B21))</f>
        <v xml:space="preserve">Ulugbek Soliyev</v>
      </c>
      <c r="Q21" s="6" t="str">
        <f>PROPER(TRIM(C21))</f>
        <v xml:space="preserve">Xonobod 12</v>
      </c>
      <c r="R21" s="6" t="str">
        <f>PROPER(TRIM(D21))</f>
        <v>Andijon</v>
      </c>
      <c r="S21" s="6" t="str">
        <f>"+"&amp;LEFT(E21,3)&amp;"-"&amp;MID(E21,4,2)&amp;"-"&amp;RIGHT(E21,7)</f>
        <v>+998-93-3212111</v>
      </c>
      <c r="T21" s="6" t="str">
        <f>LOWER(F21)</f>
        <v>sarvar@mail.com</v>
      </c>
      <c r="U21" s="6" t="str">
        <f>PROPER(TRIM(G21))</f>
        <v>Erkak</v>
      </c>
      <c r="V21" s="6" t="str">
        <f>UPPER(TRIM(H21))</f>
        <v>QARZDOR</v>
      </c>
      <c r="W21" s="6" t="str">
        <f>MID(A21,6,3)</f>
        <v>020</v>
      </c>
      <c r="X21" s="6" t="str">
        <f>TRIM(J21)</f>
        <v>1998-11-02</v>
      </c>
      <c r="Y21" s="6" t="str">
        <f>UPPER(TRIM(K21))</f>
        <v>ODDIY</v>
      </c>
      <c r="Z21" s="6" t="str">
        <f>TRIM(L21)</f>
        <v xml:space="preserve">9860 5555 4444 3333</v>
      </c>
      <c r="AA21" s="6" t="str">
        <f>TRIM(M21)</f>
        <v>2023-02-15</v>
      </c>
      <c r="AB21" s="6" t="str">
        <f>PROPER(TRIM(N21))</f>
        <v>Yangi</v>
      </c>
      <c r="AC21" s="6" t="str">
        <f>UPPER(TRIM(O21))</f>
        <v>NEW20</v>
      </c>
    </row>
    <row r="22">
      <c r="A22" s="6" t="s">
        <v>243</v>
      </c>
      <c r="B22" s="6" t="s">
        <v>244</v>
      </c>
      <c r="C22" s="6" t="s">
        <v>245</v>
      </c>
      <c r="D22" s="6" t="s">
        <v>189</v>
      </c>
      <c r="E22" s="10">
        <v>998931234333</v>
      </c>
      <c r="F22" s="6" t="s">
        <v>165</v>
      </c>
      <c r="G22" s="6" t="s">
        <v>166</v>
      </c>
      <c r="H22" s="6" t="s">
        <v>167</v>
      </c>
      <c r="I22" s="6">
        <v>0</v>
      </c>
      <c r="J22" s="6" t="s">
        <v>168</v>
      </c>
      <c r="K22" s="6" t="s">
        <v>169</v>
      </c>
      <c r="L22" s="6" t="s">
        <v>170</v>
      </c>
      <c r="M22" s="6" t="s">
        <v>171</v>
      </c>
      <c r="N22" s="6" t="s">
        <v>172</v>
      </c>
      <c r="O22" s="6" t="s">
        <v>173</v>
      </c>
      <c r="P22" s="6" t="str">
        <f>PROPER(TRIM(B22))</f>
        <v xml:space="preserve">Dilmurod Akbarov</v>
      </c>
      <c r="Q22" s="6" t="str">
        <f>PROPER(TRIM(C22))</f>
        <v xml:space="preserve">Registon 5</v>
      </c>
      <c r="R22" s="6" t="str">
        <f>PROPER(TRIM(D22))</f>
        <v>Samarqand</v>
      </c>
      <c r="S22" s="6" t="str">
        <f>"+"&amp;LEFT(E22,3)&amp;"-"&amp;MID(E22,4,2)&amp;"-"&amp;RIGHT(E22,7)</f>
        <v>+998-93-1234333</v>
      </c>
      <c r="T22" s="6" t="str">
        <f>LOWER(F22)</f>
        <v>abdulloh@gmail.com</v>
      </c>
      <c r="U22" s="6" t="str">
        <f>PROPER(TRIM(G22))</f>
        <v>Erkak</v>
      </c>
      <c r="V22" s="6" t="str">
        <f>UPPER(TRIM(H22))</f>
        <v>AKTIV</v>
      </c>
      <c r="W22" s="6" t="str">
        <f>MID(A22,6,3)</f>
        <v>021</v>
      </c>
      <c r="X22" s="6" t="str">
        <f>TRIM(J22)</f>
        <v>1995-05-12</v>
      </c>
      <c r="Y22" s="6" t="str">
        <f>UPPER(TRIM(K22))</f>
        <v>VIP</v>
      </c>
      <c r="Z22" s="6" t="str">
        <f>TRIM(L22)</f>
        <v xml:space="preserve">8600 1234 5678 9012</v>
      </c>
      <c r="AA22" s="6" t="str">
        <f>TRIM(M22)</f>
        <v>2023-01-12</v>
      </c>
      <c r="AB22" s="6" t="str">
        <f>PROPER(TRIM(N22))</f>
        <v xml:space="preserve">Yaxshi Mijoz</v>
      </c>
      <c r="AC22" s="6" t="str">
        <f>UPPER(TRIM(O22))</f>
        <v>SALE10</v>
      </c>
    </row>
    <row r="23">
      <c r="A23" s="6" t="s">
        <v>246</v>
      </c>
      <c r="B23" s="6" t="s">
        <v>247</v>
      </c>
      <c r="C23" s="6" t="s">
        <v>248</v>
      </c>
      <c r="D23" s="6" t="s">
        <v>164</v>
      </c>
      <c r="E23" s="10">
        <v>998934567888</v>
      </c>
      <c r="F23" s="6" t="s">
        <v>177</v>
      </c>
      <c r="G23" s="6" t="s">
        <v>178</v>
      </c>
      <c r="H23" s="6" t="s">
        <v>179</v>
      </c>
      <c r="I23" s="6">
        <v>120000</v>
      </c>
      <c r="J23" s="6" t="s">
        <v>180</v>
      </c>
      <c r="K23" s="6" t="s">
        <v>181</v>
      </c>
      <c r="L23" s="6" t="s">
        <v>182</v>
      </c>
      <c r="M23" s="6" t="s">
        <v>183</v>
      </c>
      <c r="N23" s="6" t="s">
        <v>184</v>
      </c>
      <c r="O23" s="6" t="s">
        <v>185</v>
      </c>
      <c r="P23" s="6" t="str">
        <f>PROPER(TRIM(B23))</f>
        <v xml:space="preserve">Aziz Raxmatov</v>
      </c>
      <c r="Q23" s="6" t="str">
        <f>PROPER(TRIM(C23))</f>
        <v xml:space="preserve">Chilonzor 77</v>
      </c>
      <c r="R23" s="6" t="str">
        <f>PROPER(TRIM(D23))</f>
        <v>Toshkent</v>
      </c>
      <c r="S23" s="6" t="str">
        <f>"+"&amp;LEFT(E23,3)&amp;"-"&amp;MID(E23,4,2)&amp;"-"&amp;RIGHT(E23,7)</f>
        <v>+998-93-4567888</v>
      </c>
      <c r="T23" s="6" t="str">
        <f>LOWER(F23)</f>
        <v>sarvar@mail.com</v>
      </c>
      <c r="U23" s="6" t="str">
        <f>PROPER(TRIM(G23))</f>
        <v>Erkak</v>
      </c>
      <c r="V23" s="6" t="str">
        <f>UPPER(TRIM(H23))</f>
        <v>QARZDOR</v>
      </c>
      <c r="W23" s="6" t="str">
        <f>MID(A23,6,3)</f>
        <v>022</v>
      </c>
      <c r="X23" s="6" t="str">
        <f>TRIM(J23)</f>
        <v>1998-11-02</v>
      </c>
      <c r="Y23" s="6" t="str">
        <f>UPPER(TRIM(K23))</f>
        <v>ODDIY</v>
      </c>
      <c r="Z23" s="6" t="str">
        <f>TRIM(L23)</f>
        <v xml:space="preserve">9860 5555 4444 3333</v>
      </c>
      <c r="AA23" s="6" t="str">
        <f>TRIM(M23)</f>
        <v>2023-02-15</v>
      </c>
      <c r="AB23" s="6" t="str">
        <f>PROPER(TRIM(N23))</f>
        <v>Yangi</v>
      </c>
      <c r="AC23" s="6" t="str">
        <f>UPPER(TRIM(O23))</f>
        <v>NEW20</v>
      </c>
    </row>
    <row r="24">
      <c r="A24" s="6" t="s">
        <v>249</v>
      </c>
      <c r="B24" s="6" t="s">
        <v>250</v>
      </c>
      <c r="C24" s="6" t="s">
        <v>251</v>
      </c>
      <c r="D24" s="6" t="s">
        <v>164</v>
      </c>
      <c r="E24" s="10">
        <v>998909876555</v>
      </c>
      <c r="F24" s="6" t="s">
        <v>165</v>
      </c>
      <c r="G24" s="6" t="s">
        <v>166</v>
      </c>
      <c r="H24" s="6" t="s">
        <v>167</v>
      </c>
      <c r="I24" s="6">
        <v>0</v>
      </c>
      <c r="J24" s="6" t="s">
        <v>168</v>
      </c>
      <c r="K24" s="6" t="s">
        <v>169</v>
      </c>
      <c r="L24" s="6" t="s">
        <v>170</v>
      </c>
      <c r="M24" s="6" t="s">
        <v>171</v>
      </c>
      <c r="N24" s="6" t="s">
        <v>172</v>
      </c>
      <c r="O24" s="6" t="s">
        <v>173</v>
      </c>
      <c r="P24" s="6" t="str">
        <f>PROPER(TRIM(B24))</f>
        <v xml:space="preserve">Javlon Soliyev</v>
      </c>
      <c r="Q24" s="6" t="str">
        <f>PROPER(TRIM(C24))</f>
        <v xml:space="preserve">Sergeli 90</v>
      </c>
      <c r="R24" s="6" t="str">
        <f>PROPER(TRIM(D24))</f>
        <v>Toshkent</v>
      </c>
      <c r="S24" s="6" t="str">
        <f>"+"&amp;LEFT(E24,3)&amp;"-"&amp;MID(E24,4,2)&amp;"-"&amp;RIGHT(E24,7)</f>
        <v>+998-90-9876555</v>
      </c>
      <c r="T24" s="6" t="str">
        <f>LOWER(F24)</f>
        <v>abdulloh@gmail.com</v>
      </c>
      <c r="U24" s="6" t="str">
        <f>PROPER(TRIM(G24))</f>
        <v>Erkak</v>
      </c>
      <c r="V24" s="6" t="str">
        <f>UPPER(TRIM(H24))</f>
        <v>AKTIV</v>
      </c>
      <c r="W24" s="6" t="str">
        <f>MID(A24,6,3)</f>
        <v>023</v>
      </c>
      <c r="X24" s="6" t="str">
        <f>TRIM(J24)</f>
        <v>1995-05-12</v>
      </c>
      <c r="Y24" s="6" t="str">
        <f>UPPER(TRIM(K24))</f>
        <v>VIP</v>
      </c>
      <c r="Z24" s="6" t="str">
        <f>TRIM(L24)</f>
        <v xml:space="preserve">8600 1234 5678 9012</v>
      </c>
      <c r="AA24" s="6" t="str">
        <f>TRIM(M24)</f>
        <v>2023-01-12</v>
      </c>
      <c r="AB24" s="6" t="str">
        <f>PROPER(TRIM(N24))</f>
        <v xml:space="preserve">Yaxshi Mijoz</v>
      </c>
      <c r="AC24" s="6" t="str">
        <f>UPPER(TRIM(O24))</f>
        <v>SALE10</v>
      </c>
    </row>
    <row r="25">
      <c r="A25" s="6" t="s">
        <v>252</v>
      </c>
      <c r="B25" s="6" t="s">
        <v>253</v>
      </c>
      <c r="C25" s="6" t="s">
        <v>254</v>
      </c>
      <c r="D25" s="6" t="s">
        <v>197</v>
      </c>
      <c r="E25" s="10">
        <v>998934567111</v>
      </c>
      <c r="F25" s="6" t="s">
        <v>177</v>
      </c>
      <c r="G25" s="6" t="s">
        <v>178</v>
      </c>
      <c r="H25" s="6" t="s">
        <v>179</v>
      </c>
      <c r="I25" s="6">
        <v>120000</v>
      </c>
      <c r="J25" s="6" t="s">
        <v>180</v>
      </c>
      <c r="K25" s="6" t="s">
        <v>181</v>
      </c>
      <c r="L25" s="6" t="s">
        <v>182</v>
      </c>
      <c r="M25" s="6" t="s">
        <v>183</v>
      </c>
      <c r="N25" s="6" t="s">
        <v>184</v>
      </c>
      <c r="O25" s="6" t="s">
        <v>185</v>
      </c>
      <c r="P25" s="6" t="str">
        <f>PROPER(TRIM(B25))</f>
        <v xml:space="preserve">Sardor Karimov</v>
      </c>
      <c r="Q25" s="6" t="str">
        <f>PROPER(TRIM(C25))</f>
        <v xml:space="preserve">Uychi 11</v>
      </c>
      <c r="R25" s="6" t="str">
        <f>PROPER(TRIM(D25))</f>
        <v>Namangan</v>
      </c>
      <c r="S25" s="6" t="str">
        <f>"+"&amp;LEFT(E25,3)&amp;"-"&amp;MID(E25,4,2)&amp;"-"&amp;RIGHT(E25,7)</f>
        <v>+998-93-4567111</v>
      </c>
      <c r="T25" s="6" t="str">
        <f>LOWER(F25)</f>
        <v>sarvar@mail.com</v>
      </c>
      <c r="U25" s="6" t="str">
        <f>PROPER(TRIM(G25))</f>
        <v>Erkak</v>
      </c>
      <c r="V25" s="6" t="str">
        <f>UPPER(TRIM(H25))</f>
        <v>QARZDOR</v>
      </c>
      <c r="W25" s="6" t="str">
        <f>MID(A25,6,3)</f>
        <v>024</v>
      </c>
      <c r="X25" s="6" t="str">
        <f>TRIM(J25)</f>
        <v>1998-11-02</v>
      </c>
      <c r="Y25" s="6" t="str">
        <f>UPPER(TRIM(K25))</f>
        <v>ODDIY</v>
      </c>
      <c r="Z25" s="6" t="str">
        <f>TRIM(L25)</f>
        <v xml:space="preserve">9860 5555 4444 3333</v>
      </c>
      <c r="AA25" s="6" t="str">
        <f>TRIM(M25)</f>
        <v>2023-02-15</v>
      </c>
      <c r="AB25" s="6" t="str">
        <f>PROPER(TRIM(N25))</f>
        <v>Yangi</v>
      </c>
      <c r="AC25" s="6" t="str">
        <f>UPPER(TRIM(O25))</f>
        <v>NEW20</v>
      </c>
    </row>
    <row r="26">
      <c r="A26" s="6" t="s">
        <v>255</v>
      </c>
      <c r="B26" s="6" t="s">
        <v>256</v>
      </c>
      <c r="C26" s="6" t="s">
        <v>257</v>
      </c>
      <c r="D26" s="6" t="s">
        <v>164</v>
      </c>
      <c r="E26" s="10">
        <v>998932222111</v>
      </c>
      <c r="F26" s="6" t="s">
        <v>165</v>
      </c>
      <c r="G26" s="6" t="s">
        <v>166</v>
      </c>
      <c r="H26" s="6" t="s">
        <v>167</v>
      </c>
      <c r="I26" s="6">
        <v>0</v>
      </c>
      <c r="J26" s="6" t="s">
        <v>168</v>
      </c>
      <c r="K26" s="6" t="s">
        <v>169</v>
      </c>
      <c r="L26" s="6" t="s">
        <v>170</v>
      </c>
      <c r="M26" s="6" t="s">
        <v>171</v>
      </c>
      <c r="N26" s="6" t="s">
        <v>172</v>
      </c>
      <c r="O26" s="6" t="s">
        <v>173</v>
      </c>
      <c r="P26" s="6" t="str">
        <f>PROPER(TRIM(B26))</f>
        <v xml:space="preserve">Komron Raxmonov</v>
      </c>
      <c r="Q26" s="6" t="str">
        <f>PROPER(TRIM(C26))</f>
        <v xml:space="preserve">Olmazor 15</v>
      </c>
      <c r="R26" s="6" t="str">
        <f>PROPER(TRIM(D26))</f>
        <v>Toshkent</v>
      </c>
      <c r="S26" s="6" t="str">
        <f>"+"&amp;LEFT(E26,3)&amp;"-"&amp;MID(E26,4,2)&amp;"-"&amp;RIGHT(E26,7)</f>
        <v>+998-93-2222111</v>
      </c>
      <c r="T26" s="6" t="str">
        <f>LOWER(F26)</f>
        <v>abdulloh@gmail.com</v>
      </c>
      <c r="U26" s="6" t="str">
        <f>PROPER(TRIM(G26))</f>
        <v>Erkak</v>
      </c>
      <c r="V26" s="6" t="str">
        <f>UPPER(TRIM(H26))</f>
        <v>AKTIV</v>
      </c>
      <c r="W26" s="6" t="str">
        <f>MID(A26,6,3)</f>
        <v>025</v>
      </c>
      <c r="X26" s="6" t="str">
        <f>TRIM(J26)</f>
        <v>1995-05-12</v>
      </c>
      <c r="Y26" s="6" t="str">
        <f>UPPER(TRIM(K26))</f>
        <v>VIP</v>
      </c>
      <c r="Z26" s="6" t="str">
        <f>TRIM(L26)</f>
        <v xml:space="preserve">8600 1234 5678 9012</v>
      </c>
      <c r="AA26" s="6" t="str">
        <f>TRIM(M26)</f>
        <v>2023-01-12</v>
      </c>
      <c r="AB26" s="6" t="str">
        <f>PROPER(TRIM(N26))</f>
        <v xml:space="preserve">Yaxshi Mijoz</v>
      </c>
      <c r="AC26" s="6" t="str">
        <f>UPPER(TRIM(O26))</f>
        <v>SALE10</v>
      </c>
    </row>
    <row r="27">
      <c r="A27" s="6" t="s">
        <v>258</v>
      </c>
      <c r="B27" s="6" t="s">
        <v>259</v>
      </c>
      <c r="C27" s="6" t="s">
        <v>260</v>
      </c>
      <c r="D27" s="6" t="s">
        <v>189</v>
      </c>
      <c r="E27" s="10">
        <v>998933332111</v>
      </c>
      <c r="F27" s="6" t="s">
        <v>177</v>
      </c>
      <c r="G27" s="6" t="s">
        <v>178</v>
      </c>
      <c r="H27" s="6" t="s">
        <v>179</v>
      </c>
      <c r="I27" s="6">
        <v>120000</v>
      </c>
      <c r="J27" s="6" t="s">
        <v>180</v>
      </c>
      <c r="K27" s="6" t="s">
        <v>181</v>
      </c>
      <c r="L27" s="6" t="s">
        <v>182</v>
      </c>
      <c r="M27" s="6" t="s">
        <v>183</v>
      </c>
      <c r="N27" s="6" t="s">
        <v>184</v>
      </c>
      <c r="O27" s="6" t="s">
        <v>185</v>
      </c>
      <c r="P27" s="6" t="str">
        <f>PROPER(TRIM(B27))</f>
        <v xml:space="preserve">Shodiyor Akbarov</v>
      </c>
      <c r="Q27" s="6" t="str">
        <f>PROPER(TRIM(C27))</f>
        <v xml:space="preserve">Pastdargom 20</v>
      </c>
      <c r="R27" s="6" t="str">
        <f>PROPER(TRIM(D27))</f>
        <v>Samarqand</v>
      </c>
      <c r="S27" s="6" t="str">
        <f>"+"&amp;LEFT(E27,3)&amp;"-"&amp;MID(E27,4,2)&amp;"-"&amp;RIGHT(E27,7)</f>
        <v>+998-93-3332111</v>
      </c>
      <c r="T27" s="6" t="str">
        <f>LOWER(F27)</f>
        <v>sarvar@mail.com</v>
      </c>
      <c r="U27" s="6" t="str">
        <f>PROPER(TRIM(G27))</f>
        <v>Erkak</v>
      </c>
      <c r="V27" s="6" t="str">
        <f>UPPER(TRIM(H27))</f>
        <v>QARZDOR</v>
      </c>
      <c r="W27" s="6" t="str">
        <f>MID(A27,6,3)</f>
        <v>026</v>
      </c>
      <c r="X27" s="6" t="str">
        <f>TRIM(J27)</f>
        <v>1998-11-02</v>
      </c>
      <c r="Y27" s="6" t="str">
        <f>UPPER(TRIM(K27))</f>
        <v>ODDIY</v>
      </c>
      <c r="Z27" s="6" t="str">
        <f>TRIM(L27)</f>
        <v xml:space="preserve">9860 5555 4444 3333</v>
      </c>
      <c r="AA27" s="6" t="str">
        <f>TRIM(M27)</f>
        <v>2023-02-15</v>
      </c>
      <c r="AB27" s="6" t="str">
        <f>PROPER(TRIM(N27))</f>
        <v>Yangi</v>
      </c>
      <c r="AC27" s="6" t="str">
        <f>UPPER(TRIM(O27))</f>
        <v>NEW20</v>
      </c>
    </row>
    <row r="28">
      <c r="A28" s="6" t="s">
        <v>261</v>
      </c>
      <c r="B28" s="6" t="s">
        <v>262</v>
      </c>
      <c r="C28" s="6" t="s">
        <v>263</v>
      </c>
      <c r="D28" s="6" t="s">
        <v>193</v>
      </c>
      <c r="E28" s="10">
        <v>998934444222</v>
      </c>
      <c r="F28" s="6" t="s">
        <v>165</v>
      </c>
      <c r="G28" s="6" t="s">
        <v>166</v>
      </c>
      <c r="H28" s="6" t="s">
        <v>167</v>
      </c>
      <c r="I28" s="6">
        <v>0</v>
      </c>
      <c r="J28" s="6" t="s">
        <v>168</v>
      </c>
      <c r="K28" s="6" t="s">
        <v>169</v>
      </c>
      <c r="L28" s="6" t="s">
        <v>170</v>
      </c>
      <c r="M28" s="6" t="s">
        <v>171</v>
      </c>
      <c r="N28" s="6" t="s">
        <v>172</v>
      </c>
      <c r="O28" s="6" t="s">
        <v>173</v>
      </c>
      <c r="P28" s="6" t="str">
        <f>PROPER(TRIM(B28))</f>
        <v xml:space="preserve">Jashon Raximov</v>
      </c>
      <c r="Q28" s="6" t="str">
        <f>PROPER(TRIM(C28))</f>
        <v xml:space="preserve">Shahrixon 6</v>
      </c>
      <c r="R28" s="6" t="str">
        <f>PROPER(TRIM(D28))</f>
        <v>Andijon</v>
      </c>
      <c r="S28" s="6" t="str">
        <f>"+"&amp;LEFT(E28,3)&amp;"-"&amp;MID(E28,4,2)&amp;"-"&amp;RIGHT(E28,7)</f>
        <v>+998-93-4444222</v>
      </c>
      <c r="T28" s="6" t="str">
        <f>LOWER(F28)</f>
        <v>abdulloh@gmail.com</v>
      </c>
      <c r="U28" s="6" t="str">
        <f>PROPER(TRIM(G28))</f>
        <v>Erkak</v>
      </c>
      <c r="V28" s="6" t="str">
        <f>UPPER(TRIM(H28))</f>
        <v>AKTIV</v>
      </c>
      <c r="W28" s="6" t="str">
        <f>MID(A28,6,3)</f>
        <v>027</v>
      </c>
      <c r="X28" s="6" t="str">
        <f>TRIM(J28)</f>
        <v>1995-05-12</v>
      </c>
      <c r="Y28" s="6" t="str">
        <f>UPPER(TRIM(K28))</f>
        <v>VIP</v>
      </c>
      <c r="Z28" s="6" t="str">
        <f>TRIM(L28)</f>
        <v xml:space="preserve">8600 1234 5678 9012</v>
      </c>
      <c r="AA28" s="6" t="str">
        <f>TRIM(M28)</f>
        <v>2023-01-12</v>
      </c>
      <c r="AB28" s="6" t="str">
        <f>PROPER(TRIM(N28))</f>
        <v xml:space="preserve">Yaxshi Mijoz</v>
      </c>
      <c r="AC28" s="6" t="str">
        <f>UPPER(TRIM(O28))</f>
        <v>SALE10</v>
      </c>
    </row>
    <row r="29">
      <c r="A29" s="6" t="s">
        <v>264</v>
      </c>
      <c r="B29" s="6" t="s">
        <v>265</v>
      </c>
      <c r="C29" s="6" t="s">
        <v>266</v>
      </c>
      <c r="D29" s="6" t="s">
        <v>164</v>
      </c>
      <c r="E29" s="10">
        <v>998935555444</v>
      </c>
      <c r="F29" s="6" t="s">
        <v>177</v>
      </c>
      <c r="G29" s="6" t="s">
        <v>178</v>
      </c>
      <c r="H29" s="6" t="s">
        <v>179</v>
      </c>
      <c r="I29" s="6">
        <v>120000</v>
      </c>
      <c r="J29" s="6" t="s">
        <v>180</v>
      </c>
      <c r="K29" s="6" t="s">
        <v>181</v>
      </c>
      <c r="L29" s="6" t="s">
        <v>182</v>
      </c>
      <c r="M29" s="6" t="s">
        <v>183</v>
      </c>
      <c r="N29" s="6" t="s">
        <v>184</v>
      </c>
      <c r="O29" s="6" t="s">
        <v>185</v>
      </c>
      <c r="P29" s="6" t="str">
        <f>PROPER(TRIM(B29))</f>
        <v xml:space="preserve">Abdukarim Soliyev</v>
      </c>
      <c r="Q29" s="6" t="str">
        <f>PROPER(TRIM(C29))</f>
        <v xml:space="preserve">Yunusobod 1</v>
      </c>
      <c r="R29" s="6" t="str">
        <f>PROPER(TRIM(D29))</f>
        <v>Toshkent</v>
      </c>
      <c r="S29" s="6" t="str">
        <f>"+"&amp;LEFT(E29,3)&amp;"-"&amp;MID(E29,4,2)&amp;"-"&amp;RIGHT(E29,7)</f>
        <v>+998-93-5555444</v>
      </c>
      <c r="T29" s="6" t="str">
        <f>LOWER(F29)</f>
        <v>sarvar@mail.com</v>
      </c>
      <c r="U29" s="6" t="str">
        <f>PROPER(TRIM(G29))</f>
        <v>Erkak</v>
      </c>
      <c r="V29" s="6" t="str">
        <f>UPPER(TRIM(H29))</f>
        <v>QARZDOR</v>
      </c>
      <c r="W29" s="6" t="str">
        <f>MID(A29,6,3)</f>
        <v>028</v>
      </c>
      <c r="X29" s="6" t="str">
        <f>TRIM(J29)</f>
        <v>1998-11-02</v>
      </c>
      <c r="Y29" s="6" t="str">
        <f>UPPER(TRIM(K29))</f>
        <v>ODDIY</v>
      </c>
      <c r="Z29" s="6" t="str">
        <f>TRIM(L29)</f>
        <v xml:space="preserve">9860 5555 4444 3333</v>
      </c>
      <c r="AA29" s="6" t="str">
        <f>TRIM(M29)</f>
        <v>2023-02-15</v>
      </c>
      <c r="AB29" s="6" t="str">
        <f>PROPER(TRIM(N29))</f>
        <v>Yangi</v>
      </c>
      <c r="AC29" s="6" t="str">
        <f>UPPER(TRIM(O29))</f>
        <v>NEW20</v>
      </c>
    </row>
    <row r="30">
      <c r="A30" s="6" t="s">
        <v>267</v>
      </c>
      <c r="B30" s="6" t="s">
        <v>268</v>
      </c>
      <c r="C30" s="6" t="s">
        <v>269</v>
      </c>
      <c r="D30" s="6" t="s">
        <v>164</v>
      </c>
      <c r="E30" s="10">
        <v>998936666333</v>
      </c>
      <c r="F30" s="6" t="s">
        <v>165</v>
      </c>
      <c r="G30" s="6" t="s">
        <v>166</v>
      </c>
      <c r="H30" s="6" t="s">
        <v>167</v>
      </c>
      <c r="I30" s="6">
        <v>0</v>
      </c>
      <c r="J30" s="6" t="s">
        <v>168</v>
      </c>
      <c r="K30" s="6" t="s">
        <v>169</v>
      </c>
      <c r="L30" s="6" t="s">
        <v>170</v>
      </c>
      <c r="M30" s="6" t="s">
        <v>171</v>
      </c>
      <c r="N30" s="6" t="s">
        <v>172</v>
      </c>
      <c r="O30" s="6" t="s">
        <v>173</v>
      </c>
      <c r="P30" s="6" t="str">
        <f>PROPER(TRIM(B30))</f>
        <v xml:space="preserve">Muhammad Akbarov</v>
      </c>
      <c r="Q30" s="6" t="str">
        <f>PROPER(TRIM(C30))</f>
        <v xml:space="preserve">Chilonzor 55</v>
      </c>
      <c r="R30" s="6" t="str">
        <f>PROPER(TRIM(D30))</f>
        <v>Toshkent</v>
      </c>
      <c r="S30" s="6" t="str">
        <f>"+"&amp;LEFT(E30,3)&amp;"-"&amp;MID(E30,4,2)&amp;"-"&amp;RIGHT(E30,7)</f>
        <v>+998-93-6666333</v>
      </c>
      <c r="T30" s="6" t="str">
        <f>LOWER(F30)</f>
        <v>abdulloh@gmail.com</v>
      </c>
      <c r="U30" s="6" t="str">
        <f>PROPER(TRIM(G30))</f>
        <v>Erkak</v>
      </c>
      <c r="V30" s="6" t="str">
        <f>UPPER(TRIM(H30))</f>
        <v>AKTIV</v>
      </c>
      <c r="W30" s="6" t="str">
        <f>MID(A30,6,3)</f>
        <v>029</v>
      </c>
      <c r="X30" s="6" t="str">
        <f>TRIM(J30)</f>
        <v>1995-05-12</v>
      </c>
      <c r="Y30" s="6" t="str">
        <f>UPPER(TRIM(K30))</f>
        <v>VIP</v>
      </c>
      <c r="Z30" s="6" t="str">
        <f>TRIM(L30)</f>
        <v xml:space="preserve">8600 1234 5678 9012</v>
      </c>
      <c r="AA30" s="6" t="str">
        <f>TRIM(M30)</f>
        <v>2023-01-12</v>
      </c>
      <c r="AB30" s="6" t="str">
        <f>PROPER(TRIM(N30))</f>
        <v xml:space="preserve">Yaxshi Mijoz</v>
      </c>
      <c r="AC30" s="6" t="str">
        <f>UPPER(TRIM(O30))</f>
        <v>SALE10</v>
      </c>
    </row>
    <row r="31">
      <c r="A31" s="6" t="s">
        <v>270</v>
      </c>
      <c r="B31" s="6" t="s">
        <v>271</v>
      </c>
      <c r="C31" s="6" t="s">
        <v>272</v>
      </c>
      <c r="D31" s="6" t="s">
        <v>189</v>
      </c>
      <c r="E31" s="10">
        <v>998937777888</v>
      </c>
      <c r="F31" s="6" t="s">
        <v>177</v>
      </c>
      <c r="G31" s="6" t="s">
        <v>178</v>
      </c>
      <c r="H31" s="6" t="s">
        <v>179</v>
      </c>
      <c r="I31" s="6">
        <v>120000</v>
      </c>
      <c r="J31" s="6" t="s">
        <v>180</v>
      </c>
      <c r="K31" s="6" t="s">
        <v>181</v>
      </c>
      <c r="L31" s="6" t="s">
        <v>182</v>
      </c>
      <c r="M31" s="6" t="s">
        <v>183</v>
      </c>
      <c r="N31" s="6" t="s">
        <v>184</v>
      </c>
      <c r="O31" s="6" t="s">
        <v>185</v>
      </c>
      <c r="P31" s="6" t="str">
        <f>PROPER(TRIM(B31))</f>
        <v xml:space="preserve">Ilhomjon Raxmonov</v>
      </c>
      <c r="Q31" s="6" t="str">
        <f>PROPER(TRIM(C31))</f>
        <v xml:space="preserve">Urgut 100</v>
      </c>
      <c r="R31" s="6" t="str">
        <f>PROPER(TRIM(D31))</f>
        <v>Samarqand</v>
      </c>
      <c r="S31" s="6" t="str">
        <f>"+"&amp;LEFT(E31,3)&amp;"-"&amp;MID(E31,4,2)&amp;"-"&amp;RIGHT(E31,7)</f>
        <v>+998-93-7777888</v>
      </c>
      <c r="T31" s="6" t="str">
        <f>LOWER(F31)</f>
        <v>sarvar@mail.com</v>
      </c>
      <c r="U31" s="6" t="str">
        <f>PROPER(TRIM(G31))</f>
        <v>Erkak</v>
      </c>
      <c r="V31" s="6" t="str">
        <f>UPPER(TRIM(H31))</f>
        <v>QARZDOR</v>
      </c>
      <c r="W31" s="6" t="str">
        <f>MID(A31,6,3)</f>
        <v>030</v>
      </c>
      <c r="X31" s="6" t="str">
        <f>TRIM(J31)</f>
        <v>1998-11-02</v>
      </c>
      <c r="Y31" s="6" t="str">
        <f>UPPER(TRIM(K31))</f>
        <v>ODDIY</v>
      </c>
      <c r="Z31" s="6" t="str">
        <f>TRIM(L31)</f>
        <v xml:space="preserve">9860 5555 4444 3333</v>
      </c>
      <c r="AA31" s="6" t="str">
        <f>TRIM(M31)</f>
        <v>2023-02-15</v>
      </c>
      <c r="AB31" s="6" t="str">
        <f>PROPER(TRIM(N31))</f>
        <v>Yangi</v>
      </c>
      <c r="AC31" s="6" t="str">
        <f>UPPER(TRIM(O31))</f>
        <v>NEW20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2026-03-17T05:05:38Z</dcterms:modified>
</cp:coreProperties>
</file>