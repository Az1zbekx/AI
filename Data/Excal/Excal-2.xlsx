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<sst xmlns="http://schemas.openxmlformats.org/spreadsheetml/2006/main" count="20" uniqueCount="20">
  <si>
    <t>KINGSMAN</t>
  </si>
  <si>
    <t>Month</t>
  </si>
  <si>
    <t>Tax-2023</t>
  </si>
  <si>
    <t>Profit-2023</t>
  </si>
  <si>
    <t>Tax-2024</t>
  </si>
  <si>
    <t>Profit-2024</t>
  </si>
  <si>
    <t>Tax-2025</t>
  </si>
  <si>
    <t>Profit-2025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</si>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</sst>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_([$UZS]\ * #,##0.00_);_([$UZS]\ * \(#,##0.00\);_([$UZS]\ * &quot;-&quot;??_);_(@_)"/>
  </numFmts>
  <fonts count="1">
    <font>
      <sz val="11.000000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indexed="5"/>
        <bgColor indexed="5"/>
      </patternFill>
    </fill>
    <fill>
      <patternFill patternType="solid">
        <fgColor rgb="FF00B0F0"/>
        <bgColor rgb="FF00B0F0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2">
    <xf fontId="0" fillId="0" borderId="0" numFmtId="0" applyNumberFormat="1" applyFont="1" applyFill="1" applyBorder="1"/>
    <xf fontId="0" fillId="2" borderId="0" numFmtId="44" applyNumberFormat="1" applyFont="0" applyFill="0" applyBorder="0"/>
  </cellStyleXfs>
  <cellXfs count="5">
    <xf fontId="0" fillId="0" borderId="0" numFmtId="0" xfId="0"/>
    <xf fontId="0" fillId="3" borderId="1" numFmtId="0" xfId="0" applyFill="1" applyBorder="1" applyAlignment="1">
      <alignment horizontal="center" vertical="center"/>
    </xf>
    <xf fontId="0" fillId="4" borderId="1" numFmtId="0" xfId="0" applyFill="1" applyBorder="1" applyAlignment="1">
      <alignment horizontal="center" vertical="center"/>
    </xf>
    <xf fontId="0" fillId="5" borderId="1" numFmtId="164" xfId="0" applyNumberFormat="1" applyFill="1" applyBorder="1" applyAlignment="1">
      <alignment vertical="center"/>
    </xf>
    <xf fontId="0" fillId="5" borderId="1" numFmtId="164" xfId="1" applyNumberFormat="1" applyFill="1" applyBorder="1" applyAlignment="1">
      <alignment vertical="center"/>
    </xf>
  </cellXfs>
  <cellStyles count="2">
    <cellStyle name="Normal" xfId="0" builtinId="0"/>
    <cellStyle name="Currency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0.1328125"/>
    <col bestFit="1" min="2" max="4" width="18.9140625"/>
    <col bestFit="1" min="5" max="5" width="18.28125"/>
    <col bestFit="1" min="6" max="6" width="18.9140625"/>
    <col bestFit="1" min="7" max="7" width="17.8515625"/>
    <col bestFit="1" min="8" max="8" width="18.9140625"/>
    <col bestFit="1" min="9" max="9" width="17.8515625"/>
    <col bestFit="1" min="10" max="10" width="18.9140625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</row>
    <row r="3">
      <c r="A3" s="2" t="s">
        <v>1</v>
      </c>
      <c r="B3" s="2">
        <v>2023</v>
      </c>
      <c r="C3" s="2">
        <v>2024</v>
      </c>
      <c r="D3" s="2">
        <v>2025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</row>
    <row r="4">
      <c r="A4" s="2" t="s">
        <v>8</v>
      </c>
      <c r="B4" s="3">
        <f t="shared" ref="B4:B15" ca="1" si="0">RANDBETWEEN(200000000,400000000)</f>
        <v>311625465</v>
      </c>
      <c r="C4" s="3">
        <f t="shared" ref="C4:C15" ca="1" si="1">RANDBETWEEN(200000000,400000000)</f>
        <v>251683711</v>
      </c>
      <c r="D4" s="3">
        <f t="shared" ref="D4:D15" ca="1" si="2">RANDBETWEEN(200000000,400000000)</f>
        <v>351961137</v>
      </c>
      <c r="E4" s="3">
        <f t="shared" ref="E4:E9" si="3">($B4*12)/100</f>
        <v>37395055.799999997</v>
      </c>
      <c r="F4" s="3">
        <f t="shared" ref="F4:F9" si="4">$B4-$E4</f>
        <v>274230409.19999999</v>
      </c>
      <c r="G4" s="4">
        <f t="shared" ref="G4:G9" si="5">($C4*12)/100</f>
        <v>30202045.32</v>
      </c>
      <c r="H4" s="4">
        <f t="shared" ref="H4:H9" si="6">$C4-$G4</f>
        <v>221481665.68000001</v>
      </c>
      <c r="I4" s="4">
        <f t="shared" ref="I4:I9" si="7">($D4*12)/100</f>
        <v>42235336.439999998</v>
      </c>
      <c r="J4" s="4">
        <f t="shared" ref="J4:J9" si="8">$D4-$I4</f>
        <v>309725800.56</v>
      </c>
    </row>
    <row r="5">
      <c r="A5" s="2" t="s">
        <v>9</v>
      </c>
      <c r="B5" s="3">
        <f t="shared" ca="1" si="0"/>
        <v>211693824</v>
      </c>
      <c r="C5" s="3">
        <f t="shared" ca="1" si="1"/>
        <v>388131648</v>
      </c>
      <c r="D5" s="3">
        <f t="shared" ca="1" si="2"/>
        <v>246202725</v>
      </c>
      <c r="E5" s="3">
        <f t="shared" si="3"/>
        <v>25403258.879999999</v>
      </c>
      <c r="F5" s="3">
        <f t="shared" si="4"/>
        <v>186290565.12</v>
      </c>
      <c r="G5" s="4">
        <f t="shared" si="5"/>
        <v>46575797.759999998</v>
      </c>
      <c r="H5" s="4">
        <f t="shared" si="6"/>
        <v>341555850.24000001</v>
      </c>
      <c r="I5" s="4">
        <f t="shared" si="7"/>
        <v>29544327</v>
      </c>
      <c r="J5" s="4">
        <f t="shared" si="8"/>
        <v>216658398</v>
      </c>
    </row>
    <row r="6">
      <c r="A6" s="2" t="s">
        <v>10</v>
      </c>
      <c r="B6" s="3">
        <f t="shared" ca="1" si="0"/>
        <v>339619672</v>
      </c>
      <c r="C6" s="3">
        <f t="shared" ca="1" si="1"/>
        <v>225980512</v>
      </c>
      <c r="D6" s="3">
        <f t="shared" ca="1" si="2"/>
        <v>203939785</v>
      </c>
      <c r="E6" s="3">
        <f t="shared" si="3"/>
        <v>40754360.640000001</v>
      </c>
      <c r="F6" s="3">
        <f t="shared" si="4"/>
        <v>298865311.36000001</v>
      </c>
      <c r="G6" s="4">
        <f t="shared" si="5"/>
        <v>27117661.440000001</v>
      </c>
      <c r="H6" s="4">
        <f t="shared" si="6"/>
        <v>198862850.56</v>
      </c>
      <c r="I6" s="4">
        <f t="shared" si="7"/>
        <v>24472774.199999999</v>
      </c>
      <c r="J6" s="4">
        <f t="shared" si="8"/>
        <v>179467010.80000001</v>
      </c>
    </row>
    <row r="7">
      <c r="A7" s="2" t="s">
        <v>11</v>
      </c>
      <c r="B7" s="3">
        <f t="shared" ca="1" si="0"/>
        <v>221544367</v>
      </c>
      <c r="C7" s="3">
        <f t="shared" ca="1" si="1"/>
        <v>243751625</v>
      </c>
      <c r="D7" s="3">
        <f t="shared" ca="1" si="2"/>
        <v>355860183</v>
      </c>
      <c r="E7" s="3">
        <f t="shared" si="3"/>
        <v>26585324.039999999</v>
      </c>
      <c r="F7" s="3">
        <f t="shared" si="4"/>
        <v>194959042.96000001</v>
      </c>
      <c r="G7" s="4">
        <f t="shared" si="5"/>
        <v>29250195</v>
      </c>
      <c r="H7" s="4">
        <f t="shared" si="6"/>
        <v>214501430</v>
      </c>
      <c r="I7" s="4">
        <f t="shared" si="7"/>
        <v>42703221.960000001</v>
      </c>
      <c r="J7" s="4">
        <f t="shared" si="8"/>
        <v>313156961.04000002</v>
      </c>
    </row>
    <row r="8">
      <c r="A8" s="2" t="s">
        <v>12</v>
      </c>
      <c r="B8" s="3">
        <f t="shared" ca="1" si="0"/>
        <v>269331375</v>
      </c>
      <c r="C8" s="3">
        <f t="shared" ca="1" si="1"/>
        <v>282625889</v>
      </c>
      <c r="D8" s="3">
        <f t="shared" ca="1" si="2"/>
        <v>345932711</v>
      </c>
      <c r="E8" s="3">
        <f t="shared" si="3"/>
        <v>32319765</v>
      </c>
      <c r="F8" s="3">
        <f t="shared" si="4"/>
        <v>237011610</v>
      </c>
      <c r="G8" s="4">
        <f t="shared" si="5"/>
        <v>33915106.68</v>
      </c>
      <c r="H8" s="4">
        <f t="shared" si="6"/>
        <v>248710782.31999999</v>
      </c>
      <c r="I8" s="4">
        <f t="shared" si="7"/>
        <v>41511925.32</v>
      </c>
      <c r="J8" s="4">
        <f t="shared" si="8"/>
        <v>304420785.68000001</v>
      </c>
    </row>
    <row r="9">
      <c r="A9" s="2" t="s">
        <v>13</v>
      </c>
      <c r="B9" s="3">
        <f t="shared" ca="1" si="0"/>
        <v>236767864</v>
      </c>
      <c r="C9" s="3">
        <f t="shared" ca="1" si="1"/>
        <v>218458569</v>
      </c>
      <c r="D9" s="3">
        <f t="shared" ca="1" si="2"/>
        <v>306238669</v>
      </c>
      <c r="E9" s="3">
        <f t="shared" si="3"/>
        <v>28412143.68</v>
      </c>
      <c r="F9" s="3">
        <f t="shared" si="4"/>
        <v>208355720.31999999</v>
      </c>
      <c r="G9" s="4">
        <f t="shared" si="5"/>
        <v>26215028.280000001</v>
      </c>
      <c r="H9" s="4">
        <f t="shared" si="6"/>
        <v>192243540.72</v>
      </c>
      <c r="I9" s="4">
        <f t="shared" si="7"/>
        <v>36748640.280000001</v>
      </c>
      <c r="J9" s="4">
        <f t="shared" si="8"/>
        <v>269490028.72000003</v>
      </c>
    </row>
    <row r="10">
      <c r="A10" s="2" t="s">
        <v>14</v>
      </c>
      <c r="B10" s="3">
        <f t="shared" ca="1" si="0"/>
        <v>386252415</v>
      </c>
      <c r="C10" s="3">
        <f t="shared" ca="1" si="1"/>
        <v>385295928</v>
      </c>
      <c r="D10" s="3">
        <f t="shared" ca="1" si="2"/>
        <v>294636332</v>
      </c>
      <c r="E10" s="3">
        <f t="shared" ref="E10:E15" si="9">($B10*12)/100</f>
        <v>46350289.799999997</v>
      </c>
      <c r="F10" s="3">
        <f t="shared" ref="F10:F15" si="10">$B10-$E10</f>
        <v>339902125.19999999</v>
      </c>
      <c r="G10" s="4">
        <f t="shared" ref="G10:G15" si="11">($C10*12)/100</f>
        <v>46235511.359999999</v>
      </c>
      <c r="H10" s="4">
        <f t="shared" ref="H10:H15" si="12">$C10-$G10</f>
        <v>339060416.63999999</v>
      </c>
      <c r="I10" s="4">
        <f t="shared" ref="I10:I15" si="13">($D10*12)/100</f>
        <v>35356359.840000004</v>
      </c>
      <c r="J10" s="4">
        <f t="shared" ref="J10:J15" si="14">$D10-$I10</f>
        <v>259279972.16</v>
      </c>
    </row>
    <row r="11">
      <c r="A11" s="2" t="s">
        <v>15</v>
      </c>
      <c r="B11" s="3">
        <f t="shared" ca="1" si="0"/>
        <v>294464205</v>
      </c>
      <c r="C11" s="3">
        <f t="shared" ca="1" si="1"/>
        <v>228387836</v>
      </c>
      <c r="D11" s="3">
        <f t="shared" ca="1" si="2"/>
        <v>367802657</v>
      </c>
      <c r="E11" s="3">
        <f t="shared" si="9"/>
        <v>35335704.600000001</v>
      </c>
      <c r="F11" s="3">
        <f t="shared" si="10"/>
        <v>259128500.40000001</v>
      </c>
      <c r="G11" s="4">
        <f t="shared" si="11"/>
        <v>27406540.32</v>
      </c>
      <c r="H11" s="4">
        <f t="shared" si="12"/>
        <v>200981295.68000001</v>
      </c>
      <c r="I11" s="4">
        <f t="shared" si="13"/>
        <v>44136318.840000004</v>
      </c>
      <c r="J11" s="4">
        <f t="shared" si="14"/>
        <v>323666338.15999997</v>
      </c>
    </row>
    <row r="12">
      <c r="A12" s="2" t="s">
        <v>16</v>
      </c>
      <c r="B12" s="3">
        <f t="shared" ca="1" si="0"/>
        <v>355937605</v>
      </c>
      <c r="C12" s="3">
        <f t="shared" ca="1" si="1"/>
        <v>281692588</v>
      </c>
      <c r="D12" s="3">
        <f t="shared" ca="1" si="2"/>
        <v>215811985</v>
      </c>
      <c r="E12" s="3">
        <f t="shared" si="9"/>
        <v>42712512.600000001</v>
      </c>
      <c r="F12" s="3">
        <f t="shared" si="10"/>
        <v>313225092.39999998</v>
      </c>
      <c r="G12" s="4">
        <f t="shared" si="11"/>
        <v>33803110.560000002</v>
      </c>
      <c r="H12" s="4">
        <f t="shared" si="12"/>
        <v>247889477.44</v>
      </c>
      <c r="I12" s="4">
        <f t="shared" si="13"/>
        <v>25897438.199999999</v>
      </c>
      <c r="J12" s="4">
        <f t="shared" si="14"/>
        <v>189914546.80000001</v>
      </c>
    </row>
    <row r="13">
      <c r="A13" s="2" t="s">
        <v>17</v>
      </c>
      <c r="B13" s="3">
        <f t="shared" ca="1" si="0"/>
        <v>332129403</v>
      </c>
      <c r="C13" s="3">
        <f t="shared" ca="1" si="1"/>
        <v>232127513</v>
      </c>
      <c r="D13" s="3">
        <f t="shared" ca="1" si="2"/>
        <v>245872825</v>
      </c>
      <c r="E13" s="3">
        <f t="shared" si="9"/>
        <v>39855528.359999999</v>
      </c>
      <c r="F13" s="3">
        <f t="shared" si="10"/>
        <v>292273874.63999999</v>
      </c>
      <c r="G13" s="4">
        <f t="shared" si="11"/>
        <v>27855301.559999999</v>
      </c>
      <c r="H13" s="4">
        <f t="shared" si="12"/>
        <v>204272211.44</v>
      </c>
      <c r="I13" s="4">
        <f t="shared" si="13"/>
        <v>29504739</v>
      </c>
      <c r="J13" s="4">
        <f t="shared" si="14"/>
        <v>216368086</v>
      </c>
    </row>
    <row r="14">
      <c r="A14" s="2" t="s">
        <v>18</v>
      </c>
      <c r="B14" s="3">
        <f t="shared" ca="1" si="0"/>
        <v>356817004</v>
      </c>
      <c r="C14" s="3">
        <f t="shared" ca="1" si="1"/>
        <v>320523916</v>
      </c>
      <c r="D14" s="3">
        <f t="shared" ca="1" si="2"/>
        <v>279335003</v>
      </c>
      <c r="E14" s="3">
        <f t="shared" si="9"/>
        <v>42818040.479999997</v>
      </c>
      <c r="F14" s="3">
        <f t="shared" si="10"/>
        <v>313998963.51999998</v>
      </c>
      <c r="G14" s="4">
        <f t="shared" si="11"/>
        <v>38462869.920000002</v>
      </c>
      <c r="H14" s="4">
        <f t="shared" si="12"/>
        <v>282061046.07999998</v>
      </c>
      <c r="I14" s="4">
        <f t="shared" si="13"/>
        <v>33520200.359999999</v>
      </c>
      <c r="J14" s="4">
        <f t="shared" si="14"/>
        <v>245814802.63999999</v>
      </c>
    </row>
    <row r="15">
      <c r="A15" s="2" t="s">
        <v>19</v>
      </c>
      <c r="B15" s="3">
        <f t="shared" ca="1" si="0"/>
        <v>291413654</v>
      </c>
      <c r="C15" s="3">
        <f t="shared" ca="1" si="1"/>
        <v>291639504</v>
      </c>
      <c r="D15" s="3">
        <f t="shared" ca="1" si="2"/>
        <v>256699855</v>
      </c>
      <c r="E15" s="3">
        <f t="shared" si="9"/>
        <v>34969638.479999997</v>
      </c>
      <c r="F15" s="3">
        <f t="shared" si="10"/>
        <v>256444015.52000001</v>
      </c>
      <c r="G15" s="4">
        <f t="shared" si="11"/>
        <v>34996740.479999997</v>
      </c>
      <c r="H15" s="4">
        <f t="shared" si="12"/>
        <v>256642763.52000001</v>
      </c>
      <c r="I15" s="4">
        <f t="shared" si="13"/>
        <v>30803982.600000001</v>
      </c>
      <c r="J15" s="4">
        <f t="shared" si="14"/>
        <v>225895872.40000001</v>
      </c>
    </row>
  </sheetData>
  <mergeCells count="1">
    <mergeCell ref="A1:J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2026-02-24T04:10:14Z</dcterms:modified>
</cp:coreProperties>
</file>