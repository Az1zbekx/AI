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heet1" sheetId="1" state="visible" r:id="rId1"/>
    <sheet name="Sheet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<sst xmlns="http://schemas.openxmlformats.org/spreadsheetml/2006/main" count="77" uniqueCount="77">
  <si>
    <t>((A2+B2*(C2-D2/E2))^3)/(C2+3)^2</t>
  </si>
  <si>
    <t>=</t>
  </si>
  <si>
    <t>A2-(B2-C2*(D2/E2))^3)/(C2+3)</t>
  </si>
  <si>
    <t>((A2+B2)^2-(C2-D2/E2)^4)/(E2+2)</t>
  </si>
  <si>
    <t>(A2+(B2*C2-(D2/E2))^3/(D2-1))</t>
  </si>
  <si>
    <t>((A2-B2)^4+(C2-D2/E2)^2)/(E2+6)</t>
  </si>
  <si>
    <t>(A2*(B2-(C2-D2/E2))^3)/(E2+1)</t>
  </si>
  <si>
    <t>((A2+B2-C2+D2)^3-(E2/D2)^2)/(B2+2)</t>
  </si>
  <si>
    <t>(A2+(B2*C2-(D2/E2))^4/(C2-1))</t>
  </si>
  <si>
    <t>((A2-B2*(C2-D2/E2))^2)/(E2+3)^2</t>
  </si>
  <si>
    <t xml:space="preserve">Product name</t>
  </si>
  <si>
    <t xml:space="preserve">Cost price</t>
  </si>
  <si>
    <t xml:space="preserve">Sales price</t>
  </si>
  <si>
    <t>Quantity</t>
  </si>
  <si>
    <t xml:space="preserve">Discount 5%</t>
  </si>
  <si>
    <t xml:space="preserve">Tax 12%</t>
  </si>
  <si>
    <t xml:space="preserve">Delivery price 0,5%</t>
  </si>
  <si>
    <t xml:space="preserve">Stock on 
hand Price</t>
  </si>
  <si>
    <t xml:space="preserve">All Revenue</t>
  </si>
  <si>
    <t xml:space="preserve">All products 
Discount price</t>
  </si>
  <si>
    <t xml:space="preserve">Profit for 
1 product</t>
  </si>
  <si>
    <t xml:space="preserve">All Tax price</t>
  </si>
  <si>
    <t xml:space="preserve">All sales price</t>
  </si>
  <si>
    <t xml:space="preserve">Jami tannarx</t>
  </si>
  <si>
    <t xml:space="preserve">Jami
Foyda</t>
  </si>
  <si>
    <t xml:space="preserve">Jami
Haqiqiy foyda</t>
  </si>
  <si>
    <t xml:space="preserve">Ombor qiymati</t>
  </si>
  <si>
    <t xml:space="preserve">Product 1</t>
  </si>
  <si>
    <t xml:space="preserve">Product 2</t>
  </si>
  <si>
    <t xml:space="preserve">Product 3</t>
  </si>
  <si>
    <t xml:space="preserve">Product 4</t>
  </si>
  <si>
    <t xml:space="preserve">Product 5</t>
  </si>
  <si>
    <t xml:space="preserve">Product 6</t>
  </si>
  <si>
    <t xml:space="preserve">Product 7</t>
  </si>
  <si>
    <t xml:space="preserve">Product 8</t>
  </si>
  <si>
    <t xml:space="preserve">Product 9</t>
  </si>
  <si>
    <t xml:space="preserve">Product 10</t>
  </si>
  <si>
    <t xml:space="preserve">Product 11</t>
  </si>
  <si>
    <t xml:space="preserve">Product 12</t>
  </si>
  <si>
    <t xml:space="preserve">Product 13</t>
  </si>
  <si>
    <t xml:space="preserve">Product 14</t>
  </si>
  <si>
    <t xml:space="preserve">Product 15</t>
  </si>
  <si>
    <t xml:space="preserve">Product 16</t>
  </si>
  <si>
    <t xml:space="preserve">Product 17</t>
  </si>
  <si>
    <t xml:space="preserve">Product 18</t>
  </si>
  <si>
    <t xml:space="preserve">Product 19</t>
  </si>
  <si>
    <t xml:space="preserve">Product 20</t>
  </si>
  <si>
    <t xml:space="preserve">Product 21</t>
  </si>
  <si>
    <t xml:space="preserve">Product 22</t>
  </si>
  <si>
    <t xml:space="preserve">Product 23</t>
  </si>
  <si>
    <t xml:space="preserve">Product 24</t>
  </si>
  <si>
    <t xml:space="preserve">Product 25</t>
  </si>
  <si>
    <t xml:space="preserve">Product 26</t>
  </si>
  <si>
    <t xml:space="preserve">Product 27</t>
  </si>
  <si>
    <t xml:space="preserve">Product 28</t>
  </si>
  <si>
    <t xml:space="preserve">Product 29</t>
  </si>
  <si>
    <t xml:space="preserve">Product 30</t>
  </si>
  <si>
    <t xml:space="preserve">Product 31</t>
  </si>
  <si>
    <t xml:space="preserve">Product 32</t>
  </si>
  <si>
    <t xml:space="preserve">Product 33</t>
  </si>
  <si>
    <t xml:space="preserve">Product 34</t>
  </si>
  <si>
    <t xml:space="preserve">Product 35</t>
  </si>
  <si>
    <t xml:space="preserve">Product 36</t>
  </si>
  <si>
    <t xml:space="preserve">Product 37</t>
  </si>
  <si>
    <t xml:space="preserve">Product 38</t>
  </si>
  <si>
    <t xml:space="preserve">Product 39</t>
  </si>
  <si>
    <t xml:space="preserve">Product 40</t>
  </si>
  <si>
    <t xml:space="preserve">Product 41</t>
  </si>
  <si>
    <t xml:space="preserve">Product 42</t>
  </si>
  <si>
    <t xml:space="preserve">Product 43</t>
  </si>
  <si>
    <t xml:space="preserve">Product 44</t>
  </si>
  <si>
    <t xml:space="preserve">Product 45</t>
  </si>
  <si>
    <t xml:space="preserve">Product 46</t>
  </si>
  <si>
    <t xml:space="preserve">Product 47</t>
  </si>
  <si>
    <t xml:space="preserve">Product 48</t>
  </si>
  <si>
    <t xml:space="preserve">Product 49</t>
  </si>
  <si>
    <t xml:space="preserve">Product 50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</si>
</sst>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2" tint="-0.249977111117893"/>
        <bgColor theme="2" tint="-0.249977111117893"/>
      </patternFill>
    </fill>
    <fill>
      <patternFill patternType="solid">
        <fgColor theme="3" tint="0"/>
        <bgColor theme="3" tint="0"/>
      </patternFill>
    </fill>
    <fill>
      <patternFill patternType="solid">
        <fgColor theme="2" tint="0"/>
        <bgColor theme="2" tint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0" numFmtId="0" xfId="0" applyAlignment="1">
      <alignment horizontal="center" vertical="center"/>
    </xf>
    <xf fontId="0" fillId="0" borderId="0" numFmtId="0" xfId="0" applyAlignment="1">
      <alignment horizontal="center" vertical="center"/>
      <protection hidden="0" locked="1"/>
    </xf>
    <xf fontId="1" fillId="2" borderId="1" numFmtId="0" xfId="0" applyFont="1" applyFill="1" applyBorder="1" applyAlignment="1">
      <alignment vertical="center"/>
    </xf>
    <xf fontId="1" fillId="3" borderId="1" numFmtId="0" xfId="0" applyFont="1" applyFill="1" applyBorder="1" applyAlignment="1">
      <alignment vertical="center"/>
    </xf>
    <xf fontId="1" fillId="3" borderId="1" numFmtId="0" xfId="0" applyFont="1" applyFill="1" applyBorder="1" applyAlignment="1">
      <alignment vertical="center" wrapText="1"/>
    </xf>
    <xf fontId="0" fillId="4" borderId="1" numFmtId="0" xfId="0" applyFill="1" applyBorder="1" applyAlignment="1">
      <alignment horizontal="center" vertical="center"/>
      <protection hidden="0" locked="1"/>
    </xf>
    <xf fontId="0" fillId="5" borderId="1" numFmtId="0" xfId="0" applyFill="1" applyBorder="1" applyAlignment="1">
      <alignment horizontal="center" vertical="center"/>
      <protection hidden="0" locked="1"/>
    </xf>
    <xf fontId="0" fillId="5" borderId="1" numFmtId="0" xfId="0" applyFill="1" applyBorder="1" applyAlignment="1">
      <alignment horizontal="center" vertical="center"/>
    </xf>
    <xf fontId="0" fillId="5" borderId="1" numFmt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A1" activeCellId="0" sqref="A1"/>
    </sheetView>
  </sheetViews>
  <sheetFormatPr defaultRowHeight="14.25"/>
  <cols>
    <col bestFit="1" min="1" max="1" width="33.00390625"/>
    <col bestFit="1" customWidth="1" min="3" max="3" width="12.421875"/>
  </cols>
  <sheetData>
    <row r="2" ht="14.25">
      <c r="A2" s="1">
        <v>43</v>
      </c>
      <c r="B2" s="1">
        <v>345</v>
      </c>
      <c r="C2" s="1">
        <v>345</v>
      </c>
      <c r="D2" s="1">
        <v>23</v>
      </c>
      <c r="E2" s="1">
        <v>453</v>
      </c>
      <c r="F2" s="1">
        <v>56</v>
      </c>
    </row>
    <row r="4" ht="14.25">
      <c r="A4" s="1" t="s">
        <v>0</v>
      </c>
      <c r="B4" s="1" t="s">
        <v>1</v>
      </c>
      <c r="C4" s="2">
        <v>13932690895</v>
      </c>
    </row>
    <row r="5" ht="14.25">
      <c r="A5" s="1" t="s">
        <v>2</v>
      </c>
      <c r="B5" s="1" t="s">
        <v>1</v>
      </c>
      <c r="C5" s="1">
        <f>(A2-(B2-C2*(D2/E2))^3)/(C2+3)</f>
        <v>-100922.56277909162</v>
      </c>
    </row>
    <row r="6" ht="14.25">
      <c r="A6" s="1" t="s">
        <v>3</v>
      </c>
      <c r="B6" s="1" t="s">
        <v>1</v>
      </c>
      <c r="C6" s="1">
        <f>((A2+B2)^2-(C2-D2/E2)^4)/(E2+2)</f>
        <v>-31117499.537027515</v>
      </c>
    </row>
    <row r="7" ht="14.25">
      <c r="A7" s="1" t="s">
        <v>4</v>
      </c>
      <c r="B7" s="1" t="s">
        <v>1</v>
      </c>
      <c r="C7" s="1">
        <f>(A2+(B2*C2-(D2/E2))^3/(D2-1))</f>
        <v>76646324557390.688</v>
      </c>
    </row>
    <row r="8" ht="14.25">
      <c r="A8" s="1" t="s">
        <v>5</v>
      </c>
      <c r="B8" s="1" t="s">
        <v>1</v>
      </c>
      <c r="C8">
        <f>((A2-B2)^4+(C2-D2/E2)^2)/(E2+6)</f>
        <v>18122633.128473781</v>
      </c>
    </row>
    <row r="9" ht="14.25">
      <c r="A9" s="1" t="s">
        <v>6</v>
      </c>
      <c r="B9" s="1" t="s">
        <v>1</v>
      </c>
      <c r="C9">
        <f>(A2*(B2-(C2-D2/E2))^3)/(E2+1)</f>
        <v>1.2396569076603711e-05</v>
      </c>
    </row>
    <row r="10" ht="14.25">
      <c r="A10" s="1" t="s">
        <v>7</v>
      </c>
      <c r="B10" s="1" t="s">
        <v>1</v>
      </c>
      <c r="C10">
        <f>((A2+B2-C2+D2)^3-(E2/D2)^2)/(B2+2)</f>
        <v>827.40081062087688</v>
      </c>
    </row>
    <row r="11" ht="14.25">
      <c r="A11" s="1" t="s">
        <v>8</v>
      </c>
      <c r="B11" s="1" t="s">
        <v>1</v>
      </c>
      <c r="C11">
        <f>(A2+(B2*C2-(D2/E2))^4/(C2-1))</f>
        <v>5.834364754531031e+17</v>
      </c>
    </row>
    <row r="12" ht="14.25">
      <c r="A12" s="1" t="s">
        <v>9</v>
      </c>
      <c r="B12" s="1" t="s">
        <v>1</v>
      </c>
      <c r="C12">
        <f>((A2-B2*(C2-D2/E2))^2)/(E2+3)^2</f>
        <v>68062.039863363825</v>
      </c>
    </row>
    <row r="13" ht="14.25">
      <c r="A13" s="1"/>
      <c r="B13" s="1"/>
    </row>
    <row r="14" ht="14.25">
      <c r="A14" s="1">
        <f>(A2+B2*C2-D2)^3/E2+1</f>
        <v>3724219554120.4814</v>
      </c>
      <c r="B14" s="1"/>
    </row>
    <row r="15" ht="14.25">
      <c r="A15" s="1">
        <f>A2-(B2-C2*(D2/C2))^3/C2+2</f>
        <v>-96726.733333333337</v>
      </c>
      <c r="B15" s="1"/>
    </row>
    <row r="16" ht="14.25">
      <c r="A16" s="1">
        <f>(A2+B2)^2-(C2-D2)^3/E2+3</f>
        <v>76846.673289183222</v>
      </c>
    </row>
    <row r="17" ht="14.25">
      <c r="A17" s="1">
        <f>A2+(B2*C2-D2/C2)^2/B2+1</f>
        <v>41063623.000012882</v>
      </c>
    </row>
    <row r="18" ht="14.25">
      <c r="A18" s="1">
        <f>(A2-B2)^3+(C2-D2)^2/E2+5</f>
        <v>-27543374.116997793</v>
      </c>
    </row>
    <row r="19" ht="14.25">
      <c r="A19" s="1">
        <f>A2+B2*C2/(D2+1)^4-E2</f>
        <v>-409.64124891493054</v>
      </c>
    </row>
    <row r="20" ht="14.25">
      <c r="A20" s="1">
        <f>A2*(B2-C2+D2)^2/E2+2</f>
        <v>52.214128035320087</v>
      </c>
    </row>
    <row r="21" ht="14.25">
      <c r="A21" s="1">
        <f>A2-(B2+C2*(D2-E2))^2/C2+1</f>
        <v>-63494101</v>
      </c>
    </row>
    <row r="22" ht="14.25">
      <c r="A22" s="1">
        <f>(A2+B2-D2)^2-(C2/E2)^2</f>
        <v>133224.41998157976</v>
      </c>
    </row>
    <row r="23" ht="14.25">
      <c r="A23" s="1">
        <f>A2+(B2-C2)^3*(D2+1)/E2+3</f>
        <v>46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41" zoomScale="100" workbookViewId="0">
      <selection activeCell="A1" activeCellId="0" sqref="A1"/>
    </sheetView>
  </sheetViews>
  <sheetFormatPr defaultRowHeight="14.25"/>
  <cols>
    <col bestFit="1" min="1" max="1" width="13.09375"/>
    <col bestFit="1" min="2" max="2" width="9.3828125"/>
    <col bestFit="1" min="3" max="3" width="9.8515625"/>
    <col bestFit="1" customWidth="1" min="5" max="5" width="11.47265625"/>
    <col bestFit="1" min="6" max="6" width="7.8515625"/>
    <col bestFit="1" customWidth="1" min="7" max="7" width="17.19140625"/>
    <col bestFit="1" customWidth="1" min="8" max="8" width="8.23046875"/>
    <col bestFit="1" min="9" max="9" width="10.90234375"/>
    <col bestFit="1" min="10" max="10" width="10.04296875"/>
    <col customWidth="1" min="11" max="11" width="8.8515625"/>
    <col bestFit="1" min="12" max="12" width="11.19140625"/>
    <col bestFit="1" min="13" max="13" width="12.421875"/>
    <col bestFit="1" min="14" max="14" width="11.953125"/>
    <col bestFit="1" min="15" max="15" width="5.953125"/>
    <col bestFit="1" min="16" max="16" width="8.421875"/>
    <col bestFit="1" min="17" max="17" width="13.953125"/>
  </cols>
  <sheetData>
    <row r="1" ht="57">
      <c r="A1" s="3" t="s">
        <v>10</v>
      </c>
      <c r="B1" s="3" t="s">
        <v>11</v>
      </c>
      <c r="C1" s="3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5" t="s">
        <v>17</v>
      </c>
      <c r="I1" s="4" t="s">
        <v>18</v>
      </c>
      <c r="J1" s="5" t="s">
        <v>19</v>
      </c>
      <c r="K1" s="5" t="s">
        <v>20</v>
      </c>
      <c r="L1" s="4" t="s">
        <v>21</v>
      </c>
      <c r="M1" s="4" t="s">
        <v>22</v>
      </c>
      <c r="N1" s="4" t="s">
        <v>23</v>
      </c>
      <c r="O1" s="5" t="s">
        <v>24</v>
      </c>
      <c r="P1" s="5" t="s">
        <v>25</v>
      </c>
      <c r="Q1" s="4" t="s">
        <v>26</v>
      </c>
    </row>
    <row r="2">
      <c r="A2" s="6" t="s">
        <v>27</v>
      </c>
      <c r="B2" s="7">
        <v>10</v>
      </c>
      <c r="C2" s="7">
        <v>15</v>
      </c>
      <c r="D2" s="7">
        <v>100</v>
      </c>
      <c r="E2" s="8">
        <f>C2*5%</f>
        <v>0.75</v>
      </c>
      <c r="F2" s="9">
        <f>C2*12%</f>
        <v>1.7999999999999998</v>
      </c>
      <c r="G2" s="8">
        <f>C2*0.5%</f>
        <v>0.074999999999999997</v>
      </c>
      <c r="H2" s="8">
        <f>B2*D2</f>
        <v>1000</v>
      </c>
      <c r="I2" s="8">
        <f>C2*D2</f>
        <v>1500</v>
      </c>
      <c r="J2" s="8">
        <f>E2*D2</f>
        <v>75</v>
      </c>
      <c r="K2" s="8">
        <f>C2-B2</f>
        <v>5</v>
      </c>
      <c r="L2" s="8">
        <f>(C2*12%)*D2</f>
        <v>179.99999999999997</v>
      </c>
      <c r="M2" s="8">
        <f>(C2-(C2*5%))*D2</f>
        <v>1425</v>
      </c>
      <c r="N2" s="8">
        <f>B2*D2</f>
        <v>1000</v>
      </c>
      <c r="O2" s="8">
        <f>(C2-B2)*D2</f>
        <v>500</v>
      </c>
      <c r="P2" s="8">
        <f>((C2-B2)*D2)-((C2*5%)*D2)-((C2*12%)*D2)-((C2*0.5%)*D2)</f>
        <v>237.50000000000003</v>
      </c>
      <c r="Q2" s="8">
        <f>B2*D2</f>
        <v>1000</v>
      </c>
    </row>
    <row r="3">
      <c r="A3" s="6" t="s">
        <v>28</v>
      </c>
      <c r="B3" s="7">
        <v>12</v>
      </c>
      <c r="C3" s="7">
        <v>18</v>
      </c>
      <c r="D3" s="7">
        <v>150</v>
      </c>
      <c r="E3" s="8">
        <f>C3*5%</f>
        <v>0.90000000000000002</v>
      </c>
      <c r="F3" s="9">
        <f>C3*12%</f>
        <v>2.1600000000000001</v>
      </c>
      <c r="G3" s="8">
        <f>C3*0.5%</f>
        <v>0.089999999999999997</v>
      </c>
      <c r="H3" s="8">
        <f>B3*D3</f>
        <v>1800</v>
      </c>
      <c r="I3" s="8">
        <f>C3*D3</f>
        <v>2700</v>
      </c>
      <c r="J3" s="8">
        <f>E3*D3</f>
        <v>135</v>
      </c>
      <c r="K3" s="8">
        <f>C3-B3</f>
        <v>6</v>
      </c>
      <c r="L3" s="8">
        <f>(C3*12%)*D3</f>
        <v>324</v>
      </c>
      <c r="M3" s="8">
        <f>(C3-(C3*5%))*D3</f>
        <v>2565</v>
      </c>
      <c r="N3" s="8">
        <f>B3*D3</f>
        <v>1800</v>
      </c>
      <c r="O3" s="8">
        <f>(C3-B3)*D3</f>
        <v>900</v>
      </c>
      <c r="P3" s="8">
        <f>((C3-B3)*D3)-((C3*5%)*D3)-((C3*12%)*D3)-((C3*0.5%)*D3)</f>
        <v>427.5</v>
      </c>
      <c r="Q3" s="8">
        <f>B3*D3</f>
        <v>1800</v>
      </c>
    </row>
    <row r="4">
      <c r="A4" s="6" t="s">
        <v>29</v>
      </c>
      <c r="B4" s="7">
        <v>8</v>
      </c>
      <c r="C4" s="7">
        <v>14</v>
      </c>
      <c r="D4" s="7">
        <v>200</v>
      </c>
      <c r="E4" s="8">
        <f>C4*5%</f>
        <v>0.70000000000000007</v>
      </c>
      <c r="F4" s="9">
        <f>C4*12%</f>
        <v>1.6799999999999999</v>
      </c>
      <c r="G4" s="8">
        <f>C4*0.5%</f>
        <v>0.070000000000000007</v>
      </c>
      <c r="H4" s="8">
        <f>B4*D4</f>
        <v>1600</v>
      </c>
      <c r="I4" s="8">
        <f>C4*D4</f>
        <v>2800</v>
      </c>
      <c r="J4" s="8">
        <f>E4*D4</f>
        <v>140</v>
      </c>
      <c r="K4" s="8">
        <f>C4-B4</f>
        <v>6</v>
      </c>
      <c r="L4" s="8">
        <f>(C4*12%)*D4</f>
        <v>336</v>
      </c>
      <c r="M4" s="8">
        <f>(C4-(C4*5%))*D4</f>
        <v>2660</v>
      </c>
      <c r="N4" s="8">
        <f>B4*D4</f>
        <v>1600</v>
      </c>
      <c r="O4" s="8">
        <f>(C4-B4)*D4</f>
        <v>1200</v>
      </c>
      <c r="P4" s="8">
        <f>((C4-B4)*D4)-((C4*5%)*D4)-((C4*12%)*D4)-((C4*0.5%)*D4)</f>
        <v>710</v>
      </c>
      <c r="Q4" s="8">
        <f>B4*D4</f>
        <v>1600</v>
      </c>
    </row>
    <row r="5">
      <c r="A5" s="6" t="s">
        <v>30</v>
      </c>
      <c r="B5" s="7">
        <v>20</v>
      </c>
      <c r="C5" s="7">
        <v>28</v>
      </c>
      <c r="D5" s="7">
        <v>75</v>
      </c>
      <c r="E5" s="8">
        <f>C5*5%</f>
        <v>1.4000000000000001</v>
      </c>
      <c r="F5" s="9">
        <f>C5*12%</f>
        <v>3.3599999999999999</v>
      </c>
      <c r="G5" s="8">
        <f>C5*0.5%</f>
        <v>0.14000000000000001</v>
      </c>
      <c r="H5" s="8">
        <f>B5*D5</f>
        <v>1500</v>
      </c>
      <c r="I5" s="8">
        <f>C5*D5</f>
        <v>2100</v>
      </c>
      <c r="J5" s="8">
        <f>E5*D5</f>
        <v>105.00000000000001</v>
      </c>
      <c r="K5" s="8">
        <f>C5-B5</f>
        <v>8</v>
      </c>
      <c r="L5" s="8">
        <f>(C5*12%)*D5</f>
        <v>252</v>
      </c>
      <c r="M5" s="8">
        <f>(C5-(C5*5%))*D5</f>
        <v>1995</v>
      </c>
      <c r="N5" s="8">
        <f>B5*D5</f>
        <v>1500</v>
      </c>
      <c r="O5" s="8">
        <f>(C5-B5)*D5</f>
        <v>600</v>
      </c>
      <c r="P5" s="8">
        <f>((C5-B5)*D5)-((C5*5%)*D5)-((C5*12%)*D5)-((C5*0.5%)*D5)</f>
        <v>232.5</v>
      </c>
      <c r="Q5" s="8">
        <f>B5*D5</f>
        <v>1500</v>
      </c>
    </row>
    <row r="6">
      <c r="A6" s="6" t="s">
        <v>31</v>
      </c>
      <c r="B6" s="7">
        <v>5</v>
      </c>
      <c r="C6" s="7">
        <v>9</v>
      </c>
      <c r="D6" s="7">
        <v>300</v>
      </c>
      <c r="E6" s="8">
        <f>C6*5%</f>
        <v>0.45000000000000001</v>
      </c>
      <c r="F6" s="9">
        <f>C6*12%</f>
        <v>1.0800000000000001</v>
      </c>
      <c r="G6" s="8">
        <f>C6*0.5%</f>
        <v>0.044999999999999998</v>
      </c>
      <c r="H6" s="8">
        <f>B6*D6</f>
        <v>1500</v>
      </c>
      <c r="I6" s="8">
        <f>C6*D6</f>
        <v>2700</v>
      </c>
      <c r="J6" s="8">
        <f>E6*D6</f>
        <v>135</v>
      </c>
      <c r="K6" s="8">
        <f>C6-B6</f>
        <v>4</v>
      </c>
      <c r="L6" s="8">
        <f>(C6*12%)*D6</f>
        <v>324</v>
      </c>
      <c r="M6" s="8">
        <f>(C6-(C6*5%))*D6</f>
        <v>2565</v>
      </c>
      <c r="N6" s="8">
        <f>B6*D6</f>
        <v>1500</v>
      </c>
      <c r="O6" s="8">
        <f>(C6-B6)*D6</f>
        <v>1200</v>
      </c>
      <c r="P6" s="8">
        <f>((C6-B6)*D6)-((C6*5%)*D6)-((C6*12%)*D6)-((C6*0.5%)*D6)</f>
        <v>727.5</v>
      </c>
      <c r="Q6" s="8">
        <f>B6*D6</f>
        <v>1500</v>
      </c>
    </row>
    <row r="7">
      <c r="A7" s="6" t="s">
        <v>32</v>
      </c>
      <c r="B7" s="7">
        <v>18</v>
      </c>
      <c r="C7" s="7">
        <v>25</v>
      </c>
      <c r="D7" s="7">
        <v>120</v>
      </c>
      <c r="E7" s="8">
        <f>C7*5%</f>
        <v>1.25</v>
      </c>
      <c r="F7" s="9">
        <f>C7*12%</f>
        <v>3</v>
      </c>
      <c r="G7" s="8">
        <f>C7*0.5%</f>
        <v>0.125</v>
      </c>
      <c r="H7" s="8">
        <f>B7*D7</f>
        <v>2160</v>
      </c>
      <c r="I7" s="8">
        <f>C7*D7</f>
        <v>3000</v>
      </c>
      <c r="J7" s="8">
        <f>E7*D7</f>
        <v>150</v>
      </c>
      <c r="K7" s="8">
        <f>C7-B7</f>
        <v>7</v>
      </c>
      <c r="L7" s="8">
        <f>(C7*12%)*D7</f>
        <v>360</v>
      </c>
      <c r="M7" s="8">
        <f>(C7-(C7*5%))*D7</f>
        <v>2850</v>
      </c>
      <c r="N7" s="8">
        <f>B7*D7</f>
        <v>2160</v>
      </c>
      <c r="O7" s="8">
        <f>(C7-B7)*D7</f>
        <v>840</v>
      </c>
      <c r="P7" s="8">
        <f>((C7-B7)*D7)-((C7*5%)*D7)-((C7*12%)*D7)-((C7*0.5%)*D7)</f>
        <v>315</v>
      </c>
      <c r="Q7" s="8">
        <f>B7*D7</f>
        <v>2160</v>
      </c>
    </row>
    <row r="8">
      <c r="A8" s="6" t="s">
        <v>33</v>
      </c>
      <c r="B8" s="7">
        <v>7</v>
      </c>
      <c r="C8" s="7">
        <v>12</v>
      </c>
      <c r="D8" s="7">
        <v>250</v>
      </c>
      <c r="E8" s="8">
        <f>C8*5%</f>
        <v>0.60000000000000009</v>
      </c>
      <c r="F8" s="9">
        <f>C8*12%</f>
        <v>1.4399999999999999</v>
      </c>
      <c r="G8" s="8">
        <f>C8*0.5%</f>
        <v>0.059999999999999998</v>
      </c>
      <c r="H8" s="8">
        <f>B8*D8</f>
        <v>1750</v>
      </c>
      <c r="I8" s="8">
        <f>C8*D8</f>
        <v>3000</v>
      </c>
      <c r="J8" s="8">
        <f>E8*D8</f>
        <v>150.00000000000003</v>
      </c>
      <c r="K8" s="8">
        <f>C8-B8</f>
        <v>5</v>
      </c>
      <c r="L8" s="8">
        <f>(C8*12%)*D8</f>
        <v>360</v>
      </c>
      <c r="M8" s="8">
        <f>(C8-(C8*5%))*D8</f>
        <v>2850</v>
      </c>
      <c r="N8" s="8">
        <f>B8*D8</f>
        <v>1750</v>
      </c>
      <c r="O8" s="8">
        <f>(C8-B8)*D8</f>
        <v>1250</v>
      </c>
      <c r="P8" s="8">
        <f>((C8-B8)*D8)-((C8*5%)*D8)-((C8*12%)*D8)-((C8*0.5%)*D8)</f>
        <v>725</v>
      </c>
      <c r="Q8" s="8">
        <f>B8*D8</f>
        <v>1750</v>
      </c>
    </row>
    <row r="9">
      <c r="A9" s="6" t="s">
        <v>34</v>
      </c>
      <c r="B9" s="7">
        <v>30</v>
      </c>
      <c r="C9" s="7">
        <v>40</v>
      </c>
      <c r="D9" s="7">
        <v>60</v>
      </c>
      <c r="E9" s="8">
        <f>C9*5%</f>
        <v>2</v>
      </c>
      <c r="F9" s="9">
        <f>C9*12%</f>
        <v>4.7999999999999998</v>
      </c>
      <c r="G9" s="8">
        <f>C9*0.5%</f>
        <v>0.20000000000000001</v>
      </c>
      <c r="H9" s="8">
        <f>B9*D9</f>
        <v>1800</v>
      </c>
      <c r="I9" s="8">
        <f>C9*D9</f>
        <v>2400</v>
      </c>
      <c r="J9" s="8">
        <f>E9*D9</f>
        <v>120</v>
      </c>
      <c r="K9" s="8">
        <f>C9-B9</f>
        <v>10</v>
      </c>
      <c r="L9" s="8">
        <f>(C9*12%)*D9</f>
        <v>288</v>
      </c>
      <c r="M9" s="8">
        <f>(C9-(C9*5%))*D9</f>
        <v>2280</v>
      </c>
      <c r="N9" s="8">
        <f>B9*D9</f>
        <v>1800</v>
      </c>
      <c r="O9" s="8">
        <f>(C9-B9)*D9</f>
        <v>600</v>
      </c>
      <c r="P9" s="8">
        <f>((C9-B9)*D9)-((C9*5%)*D9)-((C9*12%)*D9)-((C9*0.5%)*D9)</f>
        <v>180</v>
      </c>
      <c r="Q9" s="8">
        <f>B9*D9</f>
        <v>1800</v>
      </c>
    </row>
    <row r="10">
      <c r="A10" s="6" t="s">
        <v>35</v>
      </c>
      <c r="B10" s="7">
        <v>22</v>
      </c>
      <c r="C10" s="7">
        <v>30</v>
      </c>
      <c r="D10" s="7">
        <v>90</v>
      </c>
      <c r="E10" s="8">
        <f>C10*5%</f>
        <v>1.5</v>
      </c>
      <c r="F10" s="9">
        <f>C10*12%</f>
        <v>3.5999999999999996</v>
      </c>
      <c r="G10" s="8">
        <f>C10*0.5%</f>
        <v>0.14999999999999999</v>
      </c>
      <c r="H10" s="8">
        <f>B10*D10</f>
        <v>1980</v>
      </c>
      <c r="I10" s="8">
        <f>C10*D10</f>
        <v>2700</v>
      </c>
      <c r="J10" s="8">
        <f>E10*D10</f>
        <v>135</v>
      </c>
      <c r="K10" s="8">
        <f>C10-B10</f>
        <v>8</v>
      </c>
      <c r="L10" s="8">
        <f>(C10*12%)*D10</f>
        <v>323.99999999999994</v>
      </c>
      <c r="M10" s="8">
        <f>(C10-(C10*5%))*D10</f>
        <v>2565</v>
      </c>
      <c r="N10" s="8">
        <f>B10*D10</f>
        <v>1980</v>
      </c>
      <c r="O10" s="8">
        <f>(C10-B10)*D10</f>
        <v>720</v>
      </c>
      <c r="P10" s="8">
        <f>((C10-B10)*D10)-((C10*5%)*D10)-((C10*12%)*D10)-((C10*0.5%)*D10)</f>
        <v>247.50000000000006</v>
      </c>
      <c r="Q10" s="8">
        <f>B10*D10</f>
        <v>1980</v>
      </c>
    </row>
    <row r="11">
      <c r="A11" s="6" t="s">
        <v>36</v>
      </c>
      <c r="B11" s="7">
        <v>16</v>
      </c>
      <c r="C11" s="7">
        <v>23</v>
      </c>
      <c r="D11" s="7">
        <v>110</v>
      </c>
      <c r="E11" s="8">
        <f>C11*5%</f>
        <v>1.1500000000000001</v>
      </c>
      <c r="F11" s="9">
        <f>C11*12%</f>
        <v>2.7599999999999998</v>
      </c>
      <c r="G11" s="8">
        <f>C11*0.5%</f>
        <v>0.115</v>
      </c>
      <c r="H11" s="8">
        <f>B11*D11</f>
        <v>1760</v>
      </c>
      <c r="I11" s="8">
        <f>C11*D11</f>
        <v>2530</v>
      </c>
      <c r="J11" s="8">
        <f>E11*D11</f>
        <v>126.50000000000001</v>
      </c>
      <c r="K11" s="8">
        <f>C11-B11</f>
        <v>7</v>
      </c>
      <c r="L11" s="8">
        <f>(C11*12%)*D11</f>
        <v>303.59999999999997</v>
      </c>
      <c r="M11" s="8">
        <f>(C11-(C11*5%))*D11</f>
        <v>2403.5</v>
      </c>
      <c r="N11" s="8">
        <f>B11*D11</f>
        <v>1760</v>
      </c>
      <c r="O11" s="8">
        <f>(C11-B11)*D11</f>
        <v>770</v>
      </c>
      <c r="P11" s="8">
        <f>((C11-B11)*D11)-((C11*5%)*D11)-((C11*12%)*D11)-((C11*0.5%)*D11)</f>
        <v>327.25000000000006</v>
      </c>
      <c r="Q11" s="8">
        <f>B11*D11</f>
        <v>1760</v>
      </c>
    </row>
    <row r="12">
      <c r="A12" s="6" t="s">
        <v>37</v>
      </c>
      <c r="B12" s="7">
        <v>9</v>
      </c>
      <c r="C12" s="7">
        <v>13</v>
      </c>
      <c r="D12" s="7">
        <v>180</v>
      </c>
      <c r="E12" s="8">
        <f>C12*5%</f>
        <v>0.65000000000000002</v>
      </c>
      <c r="F12" s="9">
        <f>C12*12%</f>
        <v>1.5600000000000001</v>
      </c>
      <c r="G12" s="8">
        <f>C12*0.5%</f>
        <v>0.065000000000000002</v>
      </c>
      <c r="H12" s="8">
        <f>B12*D12</f>
        <v>1620</v>
      </c>
      <c r="I12" s="8">
        <f>C12*D12</f>
        <v>2340</v>
      </c>
      <c r="J12" s="8">
        <f>E12*D12</f>
        <v>117</v>
      </c>
      <c r="K12" s="8">
        <f>C12-B12</f>
        <v>4</v>
      </c>
      <c r="L12" s="8">
        <f>(C12*12%)*D12</f>
        <v>280.80000000000001</v>
      </c>
      <c r="M12" s="8">
        <f>(C12-(C12*5%))*D12</f>
        <v>2223</v>
      </c>
      <c r="N12" s="8">
        <f>B12*D12</f>
        <v>1620</v>
      </c>
      <c r="O12" s="8">
        <f>(C12-B12)*D12</f>
        <v>720</v>
      </c>
      <c r="P12" s="8">
        <f>((C12-B12)*D12)-((C12*5%)*D12)-((C12*12%)*D12)-((C12*0.5%)*D12)</f>
        <v>310.5</v>
      </c>
      <c r="Q12" s="8">
        <f>B12*D12</f>
        <v>1620</v>
      </c>
    </row>
    <row r="13">
      <c r="A13" s="6" t="s">
        <v>38</v>
      </c>
      <c r="B13" s="7">
        <v>14</v>
      </c>
      <c r="C13" s="7">
        <v>20</v>
      </c>
      <c r="D13" s="7">
        <v>140</v>
      </c>
      <c r="E13" s="8">
        <f>C13*5%</f>
        <v>1</v>
      </c>
      <c r="F13" s="9">
        <f>C13*12%</f>
        <v>2.3999999999999999</v>
      </c>
      <c r="G13" s="8">
        <f>C13*0.5%</f>
        <v>0.10000000000000001</v>
      </c>
      <c r="H13" s="8">
        <f>B13*D13</f>
        <v>1960</v>
      </c>
      <c r="I13" s="8">
        <f>C13*D13</f>
        <v>2800</v>
      </c>
      <c r="J13" s="8">
        <f>E13*D13</f>
        <v>140</v>
      </c>
      <c r="K13" s="8">
        <f>C13-B13</f>
        <v>6</v>
      </c>
      <c r="L13" s="8">
        <f>(C13*12%)*D13</f>
        <v>336</v>
      </c>
      <c r="M13" s="8">
        <f>(C13-(C13*5%))*D13</f>
        <v>2660</v>
      </c>
      <c r="N13" s="8">
        <f>B13*D13</f>
        <v>1960</v>
      </c>
      <c r="O13" s="8">
        <f>(C13-B13)*D13</f>
        <v>840</v>
      </c>
      <c r="P13" s="8">
        <f>((C13-B13)*D13)-((C13*5%)*D13)-((C13*12%)*D13)-((C13*0.5%)*D13)</f>
        <v>350</v>
      </c>
      <c r="Q13" s="8">
        <f>B13*D13</f>
        <v>1960</v>
      </c>
    </row>
    <row r="14">
      <c r="A14" s="6" t="s">
        <v>39</v>
      </c>
      <c r="B14" s="7">
        <v>11</v>
      </c>
      <c r="C14" s="7">
        <v>17</v>
      </c>
      <c r="D14" s="7">
        <v>160</v>
      </c>
      <c r="E14" s="8">
        <f>C14*5%</f>
        <v>0.85000000000000009</v>
      </c>
      <c r="F14" s="9">
        <f>C14*12%</f>
        <v>2.04</v>
      </c>
      <c r="G14" s="8">
        <f>C14*0.5%</f>
        <v>0.085000000000000006</v>
      </c>
      <c r="H14" s="8">
        <f>B14*D14</f>
        <v>1760</v>
      </c>
      <c r="I14" s="8">
        <f>C14*D14</f>
        <v>2720</v>
      </c>
      <c r="J14" s="8">
        <f>E14*D14</f>
        <v>136</v>
      </c>
      <c r="K14" s="8">
        <f>C14-B14</f>
        <v>6</v>
      </c>
      <c r="L14" s="8">
        <f>(C14*12%)*D14</f>
        <v>326.39999999999998</v>
      </c>
      <c r="M14" s="8">
        <f>(C14-(C14*5%))*D14</f>
        <v>2584</v>
      </c>
      <c r="N14" s="8">
        <f>B14*D14</f>
        <v>1760</v>
      </c>
      <c r="O14" s="8">
        <f>(C14-B14)*D14</f>
        <v>960</v>
      </c>
      <c r="P14" s="8">
        <f>((C14-B14)*D14)-((C14*5%)*D14)-((C14*12%)*D14)-((C14*0.5%)*D14)</f>
        <v>484</v>
      </c>
      <c r="Q14" s="8">
        <f>B14*D14</f>
        <v>1760</v>
      </c>
    </row>
    <row r="15">
      <c r="A15" s="6" t="s">
        <v>40</v>
      </c>
      <c r="B15" s="7">
        <v>25</v>
      </c>
      <c r="C15" s="7">
        <v>35</v>
      </c>
      <c r="D15" s="7">
        <v>70</v>
      </c>
      <c r="E15" s="8">
        <f>C15*5%</f>
        <v>1.75</v>
      </c>
      <c r="F15" s="9">
        <f>C15*12%</f>
        <v>4.2000000000000002</v>
      </c>
      <c r="G15" s="8">
        <f>C15*0.5%</f>
        <v>0.17500000000000002</v>
      </c>
      <c r="H15" s="8">
        <f>B15*D15</f>
        <v>1750</v>
      </c>
      <c r="I15" s="8">
        <f>C15*D15</f>
        <v>2450</v>
      </c>
      <c r="J15" s="8">
        <f>E15*D15</f>
        <v>122.5</v>
      </c>
      <c r="K15" s="8">
        <f>C15-B15</f>
        <v>10</v>
      </c>
      <c r="L15" s="8">
        <f>(C15*12%)*D15</f>
        <v>294</v>
      </c>
      <c r="M15" s="8">
        <f>(C15-(C15*5%))*D15</f>
        <v>2327.5</v>
      </c>
      <c r="N15" s="8">
        <f>B15*D15</f>
        <v>1750</v>
      </c>
      <c r="O15" s="8">
        <f>(C15-B15)*D15</f>
        <v>700</v>
      </c>
      <c r="P15" s="8">
        <f>((C15-B15)*D15)-((C15*5%)*D15)-((C15*12%)*D15)-((C15*0.5%)*D15)</f>
        <v>271.25</v>
      </c>
      <c r="Q15" s="8">
        <f>B15*D15</f>
        <v>1750</v>
      </c>
    </row>
    <row r="16">
      <c r="A16" s="6" t="s">
        <v>41</v>
      </c>
      <c r="B16" s="7">
        <v>6</v>
      </c>
      <c r="C16" s="7">
        <v>10</v>
      </c>
      <c r="D16" s="7">
        <v>220</v>
      </c>
      <c r="E16" s="8">
        <f>C16*5%</f>
        <v>0.5</v>
      </c>
      <c r="F16" s="9">
        <f>C16*12%</f>
        <v>1.2</v>
      </c>
      <c r="G16" s="8">
        <f>C16*0.5%</f>
        <v>0.050000000000000003</v>
      </c>
      <c r="H16" s="8">
        <f>B16*D16</f>
        <v>1320</v>
      </c>
      <c r="I16" s="8">
        <f>C16*D16</f>
        <v>2200</v>
      </c>
      <c r="J16" s="8">
        <f>E16*D16</f>
        <v>110</v>
      </c>
      <c r="K16" s="8">
        <f>C16-B16</f>
        <v>4</v>
      </c>
      <c r="L16" s="8">
        <f>(C16*12%)*D16</f>
        <v>264</v>
      </c>
      <c r="M16" s="8">
        <f>(C16-(C16*5%))*D16</f>
        <v>2090</v>
      </c>
      <c r="N16" s="8">
        <f>B16*D16</f>
        <v>1320</v>
      </c>
      <c r="O16" s="8">
        <f>(C16-B16)*D16</f>
        <v>880</v>
      </c>
      <c r="P16" s="8">
        <f>((C16-B16)*D16)-((C16*5%)*D16)-((C16*12%)*D16)-((C16*0.5%)*D16)</f>
        <v>495</v>
      </c>
      <c r="Q16" s="8">
        <f>B16*D16</f>
        <v>1320</v>
      </c>
    </row>
    <row r="17">
      <c r="A17" s="6" t="s">
        <v>42</v>
      </c>
      <c r="B17" s="7">
        <v>19</v>
      </c>
      <c r="C17" s="7">
        <v>27</v>
      </c>
      <c r="D17" s="7">
        <v>95</v>
      </c>
      <c r="E17" s="8">
        <f>C17*5%</f>
        <v>1.3500000000000001</v>
      </c>
      <c r="F17" s="9">
        <f>C17*12%</f>
        <v>3.2399999999999998</v>
      </c>
      <c r="G17" s="8">
        <f>C17*0.5%</f>
        <v>0.13500000000000001</v>
      </c>
      <c r="H17" s="8">
        <f>B17*D17</f>
        <v>1805</v>
      </c>
      <c r="I17" s="8">
        <f>C17*D17</f>
        <v>2565</v>
      </c>
      <c r="J17" s="8">
        <f>E17*D17</f>
        <v>128.25</v>
      </c>
      <c r="K17" s="8">
        <f>C17-B17</f>
        <v>8</v>
      </c>
      <c r="L17" s="8">
        <f>(C17*12%)*D17</f>
        <v>307.79999999999995</v>
      </c>
      <c r="M17" s="8">
        <f>(C17-(C17*5%))*D17</f>
        <v>2436.75</v>
      </c>
      <c r="N17" s="8">
        <f>B17*D17</f>
        <v>1805</v>
      </c>
      <c r="O17" s="8">
        <f>(C17-B17)*D17</f>
        <v>760</v>
      </c>
      <c r="P17" s="8">
        <f>((C17-B17)*D17)-((C17*5%)*D17)-((C17*12%)*D17)-((C17*0.5%)*D17)</f>
        <v>311.12500000000006</v>
      </c>
      <c r="Q17" s="8">
        <f>B17*D17</f>
        <v>1805</v>
      </c>
    </row>
    <row r="18">
      <c r="A18" s="6" t="s">
        <v>43</v>
      </c>
      <c r="B18" s="7">
        <v>13</v>
      </c>
      <c r="C18" s="7">
        <v>19</v>
      </c>
      <c r="D18" s="7">
        <v>175</v>
      </c>
      <c r="E18" s="8">
        <f>C18*5%</f>
        <v>0.95000000000000007</v>
      </c>
      <c r="F18" s="9">
        <f>C18*12%</f>
        <v>2.2799999999999998</v>
      </c>
      <c r="G18" s="8">
        <f>C18*0.5%</f>
        <v>0.095000000000000001</v>
      </c>
      <c r="H18" s="8">
        <f>B18*D18</f>
        <v>2275</v>
      </c>
      <c r="I18" s="8">
        <f>C18*D18</f>
        <v>3325</v>
      </c>
      <c r="J18" s="8">
        <f>E18*D18</f>
        <v>166.25</v>
      </c>
      <c r="K18" s="8">
        <f>C18-B18</f>
        <v>6</v>
      </c>
      <c r="L18" s="8">
        <f>(C18*12%)*D18</f>
        <v>398.99999999999994</v>
      </c>
      <c r="M18" s="8">
        <f>(C18-(C18*5%))*D18</f>
        <v>3158.75</v>
      </c>
      <c r="N18" s="8">
        <f>B18*D18</f>
        <v>2275</v>
      </c>
      <c r="O18" s="8">
        <f>(C18-B18)*D18</f>
        <v>1050</v>
      </c>
      <c r="P18" s="8">
        <f>((C18-B18)*D18)-((C18*5%)*D18)-((C18*12%)*D18)-((C18*0.5%)*D18)</f>
        <v>468.12500000000006</v>
      </c>
      <c r="Q18" s="8">
        <f>B18*D18</f>
        <v>2275</v>
      </c>
    </row>
    <row r="19">
      <c r="A19" s="6" t="s">
        <v>44</v>
      </c>
      <c r="B19" s="7">
        <v>21</v>
      </c>
      <c r="C19" s="7">
        <v>29</v>
      </c>
      <c r="D19" s="7">
        <v>85</v>
      </c>
      <c r="E19" s="8">
        <f>C19*5%</f>
        <v>1.4500000000000002</v>
      </c>
      <c r="F19" s="9">
        <f>C19*12%</f>
        <v>3.48</v>
      </c>
      <c r="G19" s="8">
        <f>C19*0.5%</f>
        <v>0.14499999999999999</v>
      </c>
      <c r="H19" s="8">
        <f>B19*D19</f>
        <v>1785</v>
      </c>
      <c r="I19" s="8">
        <f>C19*D19</f>
        <v>2465</v>
      </c>
      <c r="J19" s="8">
        <f>E19*D19</f>
        <v>123.25000000000001</v>
      </c>
      <c r="K19" s="8">
        <f>C19-B19</f>
        <v>8</v>
      </c>
      <c r="L19" s="8">
        <f>(C19*12%)*D19</f>
        <v>295.80000000000001</v>
      </c>
      <c r="M19" s="8">
        <f>(C19-(C19*5%))*D19</f>
        <v>2341.75</v>
      </c>
      <c r="N19" s="8">
        <f>B19*D19</f>
        <v>1785</v>
      </c>
      <c r="O19" s="8">
        <f>(C19-B19)*D19</f>
        <v>680</v>
      </c>
      <c r="P19" s="8">
        <f>((C19-B19)*D19)-((C19*5%)*D19)-((C19*12%)*D19)-((C19*0.5%)*D19)</f>
        <v>248.625</v>
      </c>
      <c r="Q19" s="8">
        <f>B19*D19</f>
        <v>1785</v>
      </c>
    </row>
    <row r="20">
      <c r="A20" s="6" t="s">
        <v>45</v>
      </c>
      <c r="B20" s="7">
        <v>4</v>
      </c>
      <c r="C20" s="7">
        <v>8</v>
      </c>
      <c r="D20" s="7">
        <v>400</v>
      </c>
      <c r="E20" s="8">
        <f>C20*5%</f>
        <v>0.40000000000000002</v>
      </c>
      <c r="F20" s="9">
        <f>C20*12%</f>
        <v>0.95999999999999996</v>
      </c>
      <c r="G20" s="8">
        <f>C20*0.5%</f>
        <v>0.040000000000000001</v>
      </c>
      <c r="H20" s="8">
        <f>B20*D20</f>
        <v>1600</v>
      </c>
      <c r="I20" s="8">
        <f>C20*D20</f>
        <v>3200</v>
      </c>
      <c r="J20" s="8">
        <f>E20*D20</f>
        <v>160</v>
      </c>
      <c r="K20" s="8">
        <f>C20-B20</f>
        <v>4</v>
      </c>
      <c r="L20" s="8">
        <f>(C20*12%)*D20</f>
        <v>384</v>
      </c>
      <c r="M20" s="8">
        <f>(C20-(C20*5%))*D20</f>
        <v>3040</v>
      </c>
      <c r="N20" s="8">
        <f>B20*D20</f>
        <v>1600</v>
      </c>
      <c r="O20" s="8">
        <f>(C20-B20)*D20</f>
        <v>1600</v>
      </c>
      <c r="P20" s="8">
        <f>((C20-B20)*D20)-((C20*5%)*D20)-((C20*12%)*D20)-((C20*0.5%)*D20)</f>
        <v>1040</v>
      </c>
      <c r="Q20" s="8">
        <f>B20*D20</f>
        <v>1600</v>
      </c>
    </row>
    <row r="21">
      <c r="A21" s="6" t="s">
        <v>46</v>
      </c>
      <c r="B21" s="7">
        <v>28</v>
      </c>
      <c r="C21" s="7">
        <v>38</v>
      </c>
      <c r="D21" s="7">
        <v>65</v>
      </c>
      <c r="E21" s="8">
        <f>C21*5%</f>
        <v>1.9000000000000001</v>
      </c>
      <c r="F21" s="9">
        <f>C21*12%</f>
        <v>4.5599999999999996</v>
      </c>
      <c r="G21" s="8">
        <f>C21*0.5%</f>
        <v>0.19</v>
      </c>
      <c r="H21" s="8">
        <f>B21*D21</f>
        <v>1820</v>
      </c>
      <c r="I21" s="8">
        <f>C21*D21</f>
        <v>2470</v>
      </c>
      <c r="J21" s="8">
        <f>E21*D21</f>
        <v>123.50000000000001</v>
      </c>
      <c r="K21" s="8">
        <f>C21-B21</f>
        <v>10</v>
      </c>
      <c r="L21" s="8">
        <f>(C21*12%)*D21</f>
        <v>296.39999999999998</v>
      </c>
      <c r="M21" s="8">
        <f>(C21-(C21*5%))*D21</f>
        <v>2346.5</v>
      </c>
      <c r="N21" s="8">
        <f>B21*D21</f>
        <v>1820</v>
      </c>
      <c r="O21" s="8">
        <f>(C21-B21)*D21</f>
        <v>650</v>
      </c>
      <c r="P21" s="8">
        <f>((C21-B21)*D21)-((C21*5%)*D21)-((C21*12%)*D21)-((C21*0.5%)*D21)</f>
        <v>217.75000000000003</v>
      </c>
      <c r="Q21" s="8">
        <f>B21*D21</f>
        <v>1820</v>
      </c>
    </row>
    <row r="22">
      <c r="A22" s="6" t="s">
        <v>47</v>
      </c>
      <c r="B22" s="7">
        <v>15</v>
      </c>
      <c r="C22" s="7">
        <v>22</v>
      </c>
      <c r="D22" s="7">
        <v>130</v>
      </c>
      <c r="E22" s="8">
        <f>C22*5%</f>
        <v>1.1000000000000001</v>
      </c>
      <c r="F22" s="9">
        <f>C22*12%</f>
        <v>2.6399999999999997</v>
      </c>
      <c r="G22" s="8">
        <f>C22*0.5%</f>
        <v>0.11</v>
      </c>
      <c r="H22" s="8">
        <f>B22*D22</f>
        <v>1950</v>
      </c>
      <c r="I22" s="8">
        <f>C22*D22</f>
        <v>2860</v>
      </c>
      <c r="J22" s="8">
        <f>E22*D22</f>
        <v>143</v>
      </c>
      <c r="K22" s="8">
        <f>C22-B22</f>
        <v>7</v>
      </c>
      <c r="L22" s="8">
        <f>(C22*12%)*D22</f>
        <v>343.19999999999993</v>
      </c>
      <c r="M22" s="8">
        <f>(C22-(C22*5%))*D22</f>
        <v>2717</v>
      </c>
      <c r="N22" s="8">
        <f>B22*D22</f>
        <v>1950</v>
      </c>
      <c r="O22" s="8">
        <f>(C22-B22)*D22</f>
        <v>910</v>
      </c>
      <c r="P22" s="8">
        <f>((C22-B22)*D22)-((C22*5%)*D22)-((C22*12%)*D22)-((C22*0.5%)*D22)</f>
        <v>409.50000000000006</v>
      </c>
      <c r="Q22" s="8">
        <f>B22*D22</f>
        <v>1950</v>
      </c>
    </row>
    <row r="23">
      <c r="A23" s="6" t="s">
        <v>48</v>
      </c>
      <c r="B23" s="7">
        <v>17</v>
      </c>
      <c r="C23" s="7">
        <v>24</v>
      </c>
      <c r="D23" s="7">
        <v>105</v>
      </c>
      <c r="E23" s="8">
        <f>C23*5%</f>
        <v>1.2000000000000002</v>
      </c>
      <c r="F23" s="9">
        <f>C23*12%</f>
        <v>2.8799999999999999</v>
      </c>
      <c r="G23" s="8">
        <f>C23*0.5%</f>
        <v>0.12</v>
      </c>
      <c r="H23" s="8">
        <f>B23*D23</f>
        <v>1785</v>
      </c>
      <c r="I23" s="8">
        <f>C23*D23</f>
        <v>2520</v>
      </c>
      <c r="J23" s="8">
        <f>E23*D23</f>
        <v>126.00000000000001</v>
      </c>
      <c r="K23" s="8">
        <f>C23-B23</f>
        <v>7</v>
      </c>
      <c r="L23" s="8">
        <f>(C23*12%)*D23</f>
        <v>302.39999999999998</v>
      </c>
      <c r="M23" s="8">
        <f>(C23-(C23*5%))*D23</f>
        <v>2394</v>
      </c>
      <c r="N23" s="8">
        <f>B23*D23</f>
        <v>1785</v>
      </c>
      <c r="O23" s="8">
        <f>(C23-B23)*D23</f>
        <v>735</v>
      </c>
      <c r="P23" s="8">
        <f>((C23-B23)*D23)-((C23*5%)*D23)-((C23*12%)*D23)-((C23*0.5%)*D23)</f>
        <v>294</v>
      </c>
      <c r="Q23" s="8">
        <f>B23*D23</f>
        <v>1785</v>
      </c>
    </row>
    <row r="24">
      <c r="A24" s="6" t="s">
        <v>49</v>
      </c>
      <c r="B24" s="7">
        <v>23</v>
      </c>
      <c r="C24" s="7">
        <v>32</v>
      </c>
      <c r="D24" s="7">
        <v>88</v>
      </c>
      <c r="E24" s="8">
        <f>C24*5%</f>
        <v>1.6000000000000001</v>
      </c>
      <c r="F24" s="9">
        <f>C24*12%</f>
        <v>3.8399999999999999</v>
      </c>
      <c r="G24" s="8">
        <f>C24*0.5%</f>
        <v>0.16</v>
      </c>
      <c r="H24" s="8">
        <f>B24*D24</f>
        <v>2024</v>
      </c>
      <c r="I24" s="8">
        <f>C24*D24</f>
        <v>2816</v>
      </c>
      <c r="J24" s="8">
        <f>E24*D24</f>
        <v>140.80000000000001</v>
      </c>
      <c r="K24" s="8">
        <f>C24-B24</f>
        <v>9</v>
      </c>
      <c r="L24" s="8">
        <f>(C24*12%)*D24</f>
        <v>337.91999999999996</v>
      </c>
      <c r="M24" s="8">
        <f>(C24-(C24*5%))*D24</f>
        <v>2675.1999999999998</v>
      </c>
      <c r="N24" s="8">
        <f>B24*D24</f>
        <v>2024</v>
      </c>
      <c r="O24" s="8">
        <f>(C24-B24)*D24</f>
        <v>792</v>
      </c>
      <c r="P24" s="8">
        <f>((C24-B24)*D24)-((C24*5%)*D24)-((C24*12%)*D24)-((C24*0.5%)*D24)</f>
        <v>299.2000000000001</v>
      </c>
      <c r="Q24" s="8">
        <f>B24*D24</f>
        <v>2024</v>
      </c>
    </row>
    <row r="25">
      <c r="A25" s="6" t="s">
        <v>50</v>
      </c>
      <c r="B25" s="7">
        <v>26</v>
      </c>
      <c r="C25" s="7">
        <v>36</v>
      </c>
      <c r="D25" s="7">
        <v>77</v>
      </c>
      <c r="E25" s="8">
        <f>C25*5%</f>
        <v>1.8</v>
      </c>
      <c r="F25" s="9">
        <f>C25*12%</f>
        <v>4.3200000000000003</v>
      </c>
      <c r="G25" s="8">
        <f>C25*0.5%</f>
        <v>0.17999999999999999</v>
      </c>
      <c r="H25" s="8">
        <f>B25*D25</f>
        <v>2002</v>
      </c>
      <c r="I25" s="8">
        <f>C25*D25</f>
        <v>2772</v>
      </c>
      <c r="J25" s="8">
        <f>E25*D25</f>
        <v>138.59999999999999</v>
      </c>
      <c r="K25" s="8">
        <f>C25-B25</f>
        <v>10</v>
      </c>
      <c r="L25" s="8">
        <f>(C25*12%)*D25</f>
        <v>332.64000000000004</v>
      </c>
      <c r="M25" s="8">
        <f>(C25-(C25*5%))*D25</f>
        <v>2633.4000000000001</v>
      </c>
      <c r="N25" s="8">
        <f>B25*D25</f>
        <v>2002</v>
      </c>
      <c r="O25" s="8">
        <f>(C25-B25)*D25</f>
        <v>770</v>
      </c>
      <c r="P25" s="8">
        <f>((C25-B25)*D25)-((C25*5%)*D25)-((C25*12%)*D25)-((C25*0.5%)*D25)</f>
        <v>284.89999999999992</v>
      </c>
      <c r="Q25" s="8">
        <f>B25*D25</f>
        <v>2002</v>
      </c>
    </row>
    <row r="26">
      <c r="A26" s="6" t="s">
        <v>51</v>
      </c>
      <c r="B26" s="7">
        <v>3</v>
      </c>
      <c r="C26" s="7">
        <v>6</v>
      </c>
      <c r="D26" s="7">
        <v>500</v>
      </c>
      <c r="E26" s="8">
        <f>C26*5%</f>
        <v>0.30000000000000004</v>
      </c>
      <c r="F26" s="9">
        <f>C26*12%</f>
        <v>0.71999999999999997</v>
      </c>
      <c r="G26" s="8">
        <f>C26*0.5%</f>
        <v>0.029999999999999999</v>
      </c>
      <c r="H26" s="8">
        <f>B26*D26</f>
        <v>1500</v>
      </c>
      <c r="I26" s="8">
        <f>C26*D26</f>
        <v>3000</v>
      </c>
      <c r="J26" s="8">
        <f>E26*D26</f>
        <v>150.00000000000003</v>
      </c>
      <c r="K26" s="8">
        <f>C26-B26</f>
        <v>3</v>
      </c>
      <c r="L26" s="8">
        <f>(C26*12%)*D26</f>
        <v>360</v>
      </c>
      <c r="M26" s="8">
        <f>(C26-(C26*5%))*D26</f>
        <v>2850</v>
      </c>
      <c r="N26" s="8">
        <f>B26*D26</f>
        <v>1500</v>
      </c>
      <c r="O26" s="8">
        <f>(C26-B26)*D26</f>
        <v>1500</v>
      </c>
      <c r="P26" s="8">
        <f>((C26-B26)*D26)-((C26*5%)*D26)-((C26*12%)*D26)-((C26*0.5%)*D26)</f>
        <v>975</v>
      </c>
      <c r="Q26" s="8">
        <f>B26*D26</f>
        <v>1500</v>
      </c>
    </row>
    <row r="27">
      <c r="A27" s="6" t="s">
        <v>52</v>
      </c>
      <c r="B27" s="7">
        <v>24</v>
      </c>
      <c r="C27" s="7">
        <v>33</v>
      </c>
      <c r="D27" s="7">
        <v>92</v>
      </c>
      <c r="E27" s="8">
        <f>C27*5%</f>
        <v>1.6500000000000001</v>
      </c>
      <c r="F27" s="9">
        <f>C27*12%</f>
        <v>3.96</v>
      </c>
      <c r="G27" s="8">
        <f>C27*0.5%</f>
        <v>0.16500000000000001</v>
      </c>
      <c r="H27" s="8">
        <f>B27*D27</f>
        <v>2208</v>
      </c>
      <c r="I27" s="8">
        <f>C27*D27</f>
        <v>3036</v>
      </c>
      <c r="J27" s="8">
        <f>E27*D27</f>
        <v>151.80000000000001</v>
      </c>
      <c r="K27" s="8">
        <f>C27-B27</f>
        <v>9</v>
      </c>
      <c r="L27" s="8">
        <f>(C27*12%)*D27</f>
        <v>364.31999999999999</v>
      </c>
      <c r="M27" s="8">
        <f>(C27-(C27*5%))*D27</f>
        <v>2884.2000000000003</v>
      </c>
      <c r="N27" s="8">
        <f>B27*D27</f>
        <v>2208</v>
      </c>
      <c r="O27" s="8">
        <f>(C27-B27)*D27</f>
        <v>828</v>
      </c>
      <c r="P27" s="8">
        <f>((C27-B27)*D27)-((C27*5%)*D27)-((C27*12%)*D27)-((C27*0.5%)*D27)</f>
        <v>296.70000000000005</v>
      </c>
      <c r="Q27" s="8">
        <f>B27*D27</f>
        <v>2208</v>
      </c>
    </row>
    <row r="28">
      <c r="A28" s="6" t="s">
        <v>53</v>
      </c>
      <c r="B28" s="7">
        <v>27</v>
      </c>
      <c r="C28" s="7">
        <v>37</v>
      </c>
      <c r="D28" s="7">
        <v>73</v>
      </c>
      <c r="E28" s="8">
        <f>C28*5%</f>
        <v>1.8500000000000001</v>
      </c>
      <c r="F28" s="9">
        <f>C28*12%</f>
        <v>4.4399999999999995</v>
      </c>
      <c r="G28" s="8">
        <f>C28*0.5%</f>
        <v>0.185</v>
      </c>
      <c r="H28" s="8">
        <f>B28*D28</f>
        <v>1971</v>
      </c>
      <c r="I28" s="8">
        <f>C28*D28</f>
        <v>2701</v>
      </c>
      <c r="J28" s="8">
        <f>E28*D28</f>
        <v>135.05000000000001</v>
      </c>
      <c r="K28" s="8">
        <f>C28-B28</f>
        <v>10</v>
      </c>
      <c r="L28" s="8">
        <f>(C28*12%)*D28</f>
        <v>324.11999999999995</v>
      </c>
      <c r="M28" s="8">
        <f>(C28-(C28*5%))*D28</f>
        <v>2565.9499999999998</v>
      </c>
      <c r="N28" s="8">
        <f>B28*D28</f>
        <v>1971</v>
      </c>
      <c r="O28" s="8">
        <f>(C28-B28)*D28</f>
        <v>730</v>
      </c>
      <c r="P28" s="8">
        <f>((C28-B28)*D28)-((C28*5%)*D28)-((C28*12%)*D28)-((C28*0.5%)*D28)</f>
        <v>257.3250000000001</v>
      </c>
      <c r="Q28" s="8">
        <f>B28*D28</f>
        <v>1971</v>
      </c>
    </row>
    <row r="29">
      <c r="A29" s="6" t="s">
        <v>54</v>
      </c>
      <c r="B29" s="7">
        <v>29</v>
      </c>
      <c r="C29" s="7">
        <v>39</v>
      </c>
      <c r="D29" s="7">
        <v>68</v>
      </c>
      <c r="E29" s="8">
        <f>C29*5%</f>
        <v>1.9500000000000002</v>
      </c>
      <c r="F29" s="9">
        <f>C29*12%</f>
        <v>4.6799999999999997</v>
      </c>
      <c r="G29" s="8">
        <f>C29*0.5%</f>
        <v>0.19500000000000001</v>
      </c>
      <c r="H29" s="8">
        <f>B29*D29</f>
        <v>1972</v>
      </c>
      <c r="I29" s="8">
        <f>C29*D29</f>
        <v>2652</v>
      </c>
      <c r="J29" s="8">
        <f>E29*D29</f>
        <v>132.60000000000002</v>
      </c>
      <c r="K29" s="8">
        <f>C29-B29</f>
        <v>10</v>
      </c>
      <c r="L29" s="8">
        <f>(C29*12%)*D29</f>
        <v>318.24000000000001</v>
      </c>
      <c r="M29" s="8">
        <f>(C29-(C29*5%))*D29</f>
        <v>2519.3999999999996</v>
      </c>
      <c r="N29" s="8">
        <f>B29*D29</f>
        <v>1972</v>
      </c>
      <c r="O29" s="8">
        <f>(C29-B29)*D29</f>
        <v>680</v>
      </c>
      <c r="P29" s="8">
        <f>((C29-B29)*D29)-((C29*5%)*D29)-((C29*12%)*D29)-((C29*0.5%)*D29)</f>
        <v>215.89999999999998</v>
      </c>
      <c r="Q29" s="8">
        <f>B29*D29</f>
        <v>1972</v>
      </c>
    </row>
    <row r="30">
      <c r="A30" s="6" t="s">
        <v>55</v>
      </c>
      <c r="B30" s="7">
        <v>31</v>
      </c>
      <c r="C30" s="7">
        <v>42</v>
      </c>
      <c r="D30" s="7">
        <v>55</v>
      </c>
      <c r="E30" s="8">
        <f>C30*5%</f>
        <v>2.1000000000000001</v>
      </c>
      <c r="F30" s="9">
        <f>C30*12%</f>
        <v>5.04</v>
      </c>
      <c r="G30" s="8">
        <f>C30*0.5%</f>
        <v>0.20999999999999999</v>
      </c>
      <c r="H30" s="8">
        <f>B30*D30</f>
        <v>1705</v>
      </c>
      <c r="I30" s="8">
        <f>C30*D30</f>
        <v>2310</v>
      </c>
      <c r="J30" s="8">
        <f>E30*D30</f>
        <v>115.5</v>
      </c>
      <c r="K30" s="8">
        <f>C30-B30</f>
        <v>11</v>
      </c>
      <c r="L30" s="8">
        <f>(C30*12%)*D30</f>
        <v>277.19999999999999</v>
      </c>
      <c r="M30" s="8">
        <f>(C30-(C30*5%))*D30</f>
        <v>2194.5</v>
      </c>
      <c r="N30" s="8">
        <f>B30*D30</f>
        <v>1705</v>
      </c>
      <c r="O30" s="8">
        <f>(C30-B30)*D30</f>
        <v>605</v>
      </c>
      <c r="P30" s="8">
        <f>((C30-B30)*D30)-((C30*5%)*D30)-((C30*12%)*D30)-((C30*0.5%)*D30)</f>
        <v>200.75</v>
      </c>
      <c r="Q30" s="8">
        <f>B30*D30</f>
        <v>1705</v>
      </c>
    </row>
    <row r="31">
      <c r="A31" s="6" t="s">
        <v>56</v>
      </c>
      <c r="B31" s="7">
        <v>32</v>
      </c>
      <c r="C31" s="7">
        <v>45</v>
      </c>
      <c r="D31" s="7">
        <v>50</v>
      </c>
      <c r="E31" s="8">
        <f>C31*5%</f>
        <v>2.25</v>
      </c>
      <c r="F31" s="9">
        <f>C31*12%</f>
        <v>5.3999999999999995</v>
      </c>
      <c r="G31" s="8">
        <f>C31*0.5%</f>
        <v>0.22500000000000001</v>
      </c>
      <c r="H31" s="8">
        <f>B31*D31</f>
        <v>1600</v>
      </c>
      <c r="I31" s="8">
        <f>C31*D31</f>
        <v>2250</v>
      </c>
      <c r="J31" s="8">
        <f>E31*D31</f>
        <v>112.5</v>
      </c>
      <c r="K31" s="8">
        <f>C31-B31</f>
        <v>13</v>
      </c>
      <c r="L31" s="8">
        <f>(C31*12%)*D31</f>
        <v>270</v>
      </c>
      <c r="M31" s="8">
        <f>(C31-(C31*5%))*D31</f>
        <v>2137.5</v>
      </c>
      <c r="N31" s="8">
        <f>B31*D31</f>
        <v>1600</v>
      </c>
      <c r="O31" s="8">
        <f>(C31-B31)*D31</f>
        <v>650</v>
      </c>
      <c r="P31" s="8">
        <f>((C31-B31)*D31)-((C31*5%)*D31)-((C31*12%)*D31)-((C31*0.5%)*D31)</f>
        <v>256.25</v>
      </c>
      <c r="Q31" s="8">
        <f>B31*D31</f>
        <v>1600</v>
      </c>
    </row>
    <row r="32">
      <c r="A32" s="6" t="s">
        <v>57</v>
      </c>
      <c r="B32" s="7">
        <v>33</v>
      </c>
      <c r="C32" s="7">
        <v>47</v>
      </c>
      <c r="D32" s="7">
        <v>48</v>
      </c>
      <c r="E32" s="8">
        <f>C32*5%</f>
        <v>2.3500000000000001</v>
      </c>
      <c r="F32" s="9">
        <f>C32*12%</f>
        <v>5.6399999999999997</v>
      </c>
      <c r="G32" s="8">
        <f>C32*0.5%</f>
        <v>0.23500000000000001</v>
      </c>
      <c r="H32" s="8">
        <f>B32*D32</f>
        <v>1584</v>
      </c>
      <c r="I32" s="8">
        <f>C32*D32</f>
        <v>2256</v>
      </c>
      <c r="J32" s="8">
        <f>E32*D32</f>
        <v>112.80000000000001</v>
      </c>
      <c r="K32" s="8">
        <f>C32-B32</f>
        <v>14</v>
      </c>
      <c r="L32" s="8">
        <f>(C32*12%)*D32</f>
        <v>270.71999999999997</v>
      </c>
      <c r="M32" s="8">
        <f>(C32-(C32*5%))*D32</f>
        <v>2143.1999999999998</v>
      </c>
      <c r="N32" s="8">
        <f>B32*D32</f>
        <v>1584</v>
      </c>
      <c r="O32" s="8">
        <f>(C32-B32)*D32</f>
        <v>672</v>
      </c>
      <c r="P32" s="8">
        <f>((C32-B32)*D32)-((C32*5%)*D32)-((C32*12%)*D32)-((C32*0.5%)*D32)</f>
        <v>277.20000000000005</v>
      </c>
      <c r="Q32" s="8">
        <f>B32*D32</f>
        <v>1584</v>
      </c>
    </row>
    <row r="33">
      <c r="A33" s="6" t="s">
        <v>58</v>
      </c>
      <c r="B33" s="7">
        <v>34</v>
      </c>
      <c r="C33" s="7">
        <v>49</v>
      </c>
      <c r="D33" s="7">
        <v>46</v>
      </c>
      <c r="E33" s="8">
        <f>C33*5%</f>
        <v>2.4500000000000002</v>
      </c>
      <c r="F33" s="9">
        <f>C33*12%</f>
        <v>5.8799999999999999</v>
      </c>
      <c r="G33" s="8">
        <f>C33*0.5%</f>
        <v>0.245</v>
      </c>
      <c r="H33" s="8">
        <f>B33*D33</f>
        <v>1564</v>
      </c>
      <c r="I33" s="8">
        <f>C33*D33</f>
        <v>2254</v>
      </c>
      <c r="J33" s="8">
        <f>E33*D33</f>
        <v>112.7</v>
      </c>
      <c r="K33" s="8">
        <f>C33-B33</f>
        <v>15</v>
      </c>
      <c r="L33" s="8">
        <f>(C33*12%)*D33</f>
        <v>270.48000000000002</v>
      </c>
      <c r="M33" s="8">
        <f>(C33-(C33*5%))*D33</f>
        <v>2141.2999999999997</v>
      </c>
      <c r="N33" s="8">
        <f>B33*D33</f>
        <v>1564</v>
      </c>
      <c r="O33" s="8">
        <f>(C33-B33)*D33</f>
        <v>690</v>
      </c>
      <c r="P33" s="8">
        <f>((C33-B33)*D33)-((C33*5%)*D33)-((C33*12%)*D33)-((C33*0.5%)*D33)</f>
        <v>295.54999999999995</v>
      </c>
      <c r="Q33" s="8">
        <f>B33*D33</f>
        <v>1564</v>
      </c>
    </row>
    <row r="34">
      <c r="A34" s="6" t="s">
        <v>59</v>
      </c>
      <c r="B34" s="7">
        <v>35</v>
      </c>
      <c r="C34" s="7">
        <v>50</v>
      </c>
      <c r="D34" s="7">
        <v>44</v>
      </c>
      <c r="E34" s="8">
        <f>C34*5%</f>
        <v>2.5</v>
      </c>
      <c r="F34" s="9">
        <f>C34*12%</f>
        <v>6</v>
      </c>
      <c r="G34" s="8">
        <f>C34*0.5%</f>
        <v>0.25</v>
      </c>
      <c r="H34" s="8">
        <f>B34*D34</f>
        <v>1540</v>
      </c>
      <c r="I34" s="8">
        <f>C34*D34</f>
        <v>2200</v>
      </c>
      <c r="J34" s="8">
        <f>E34*D34</f>
        <v>110</v>
      </c>
      <c r="K34" s="8">
        <f>C34-B34</f>
        <v>15</v>
      </c>
      <c r="L34" s="8">
        <f>(C34*12%)*D34</f>
        <v>264</v>
      </c>
      <c r="M34" s="8">
        <f>(C34-(C34*5%))*D34</f>
        <v>2090</v>
      </c>
      <c r="N34" s="8">
        <f>B34*D34</f>
        <v>1540</v>
      </c>
      <c r="O34" s="8">
        <f>(C34-B34)*D34</f>
        <v>660</v>
      </c>
      <c r="P34" s="8">
        <f>((C34-B34)*D34)-((C34*5%)*D34)-((C34*12%)*D34)-((C34*0.5%)*D34)</f>
        <v>275</v>
      </c>
      <c r="Q34" s="8">
        <f>B34*D34</f>
        <v>1540</v>
      </c>
    </row>
    <row r="35">
      <c r="A35" s="6" t="s">
        <v>60</v>
      </c>
      <c r="B35" s="7">
        <v>36</v>
      </c>
      <c r="C35" s="7">
        <v>52</v>
      </c>
      <c r="D35" s="7">
        <v>42</v>
      </c>
      <c r="E35" s="8">
        <f>C35*5%</f>
        <v>2.6000000000000001</v>
      </c>
      <c r="F35" s="9">
        <f>C35*12%</f>
        <v>6.2400000000000002</v>
      </c>
      <c r="G35" s="8">
        <f>C35*0.5%</f>
        <v>0.26000000000000001</v>
      </c>
      <c r="H35" s="8">
        <f>B35*D35</f>
        <v>1512</v>
      </c>
      <c r="I35" s="8">
        <f>C35*D35</f>
        <v>2184</v>
      </c>
      <c r="J35" s="8">
        <f>E35*D35</f>
        <v>109.2</v>
      </c>
      <c r="K35" s="8">
        <f>C35-B35</f>
        <v>16</v>
      </c>
      <c r="L35" s="8">
        <f>(C35*12%)*D35</f>
        <v>262.07999999999998</v>
      </c>
      <c r="M35" s="8">
        <f>(C35-(C35*5%))*D35</f>
        <v>2074.7999999999997</v>
      </c>
      <c r="N35" s="8">
        <f>B35*D35</f>
        <v>1512</v>
      </c>
      <c r="O35" s="8">
        <f>(C35-B35)*D35</f>
        <v>672</v>
      </c>
      <c r="P35" s="8">
        <f>((C35-B35)*D35)-((C35*5%)*D35)-((C35*12%)*D35)-((C35*0.5%)*D35)</f>
        <v>289.79999999999995</v>
      </c>
      <c r="Q35" s="8">
        <f>B35*D35</f>
        <v>1512</v>
      </c>
    </row>
    <row r="36">
      <c r="A36" s="6" t="s">
        <v>61</v>
      </c>
      <c r="B36" s="7">
        <v>37</v>
      </c>
      <c r="C36" s="7">
        <v>54</v>
      </c>
      <c r="D36" s="7">
        <v>40</v>
      </c>
      <c r="E36" s="8">
        <f>C36*5%</f>
        <v>2.7000000000000002</v>
      </c>
      <c r="F36" s="9">
        <f>C36*12%</f>
        <v>6.4799999999999995</v>
      </c>
      <c r="G36" s="8">
        <f>C36*0.5%</f>
        <v>0.27000000000000002</v>
      </c>
      <c r="H36" s="8">
        <f>B36*D36</f>
        <v>1480</v>
      </c>
      <c r="I36" s="8">
        <f>C36*D36</f>
        <v>2160</v>
      </c>
      <c r="J36" s="8">
        <f>E36*D36</f>
        <v>108</v>
      </c>
      <c r="K36" s="8">
        <f>C36-B36</f>
        <v>17</v>
      </c>
      <c r="L36" s="8">
        <f>(C36*12%)*D36</f>
        <v>259.19999999999999</v>
      </c>
      <c r="M36" s="8">
        <f>(C36-(C36*5%))*D36</f>
        <v>2052</v>
      </c>
      <c r="N36" s="8">
        <f>B36*D36</f>
        <v>1480</v>
      </c>
      <c r="O36" s="8">
        <f>(C36-B36)*D36</f>
        <v>680</v>
      </c>
      <c r="P36" s="8">
        <f>((C36-B36)*D36)-((C36*5%)*D36)-((C36*12%)*D36)-((C36*0.5%)*D36)</f>
        <v>302</v>
      </c>
      <c r="Q36" s="8">
        <f>B36*D36</f>
        <v>1480</v>
      </c>
    </row>
    <row r="37">
      <c r="A37" s="6" t="s">
        <v>62</v>
      </c>
      <c r="B37" s="7">
        <v>38</v>
      </c>
      <c r="C37" s="7">
        <v>56</v>
      </c>
      <c r="D37" s="7">
        <v>38</v>
      </c>
      <c r="E37" s="8">
        <f>C37*5%</f>
        <v>2.8000000000000003</v>
      </c>
      <c r="F37" s="9">
        <f>C37*12%</f>
        <v>6.7199999999999998</v>
      </c>
      <c r="G37" s="8">
        <f>C37*0.5%</f>
        <v>0.28000000000000003</v>
      </c>
      <c r="H37" s="8">
        <f>B37*D37</f>
        <v>1444</v>
      </c>
      <c r="I37" s="8">
        <f>C37*D37</f>
        <v>2128</v>
      </c>
      <c r="J37" s="8">
        <f>E37*D37</f>
        <v>106.40000000000001</v>
      </c>
      <c r="K37" s="8">
        <f>C37-B37</f>
        <v>18</v>
      </c>
      <c r="L37" s="8">
        <f>(C37*12%)*D37</f>
        <v>255.35999999999999</v>
      </c>
      <c r="M37" s="8">
        <f>(C37-(C37*5%))*D37</f>
        <v>2021.6000000000001</v>
      </c>
      <c r="N37" s="8">
        <f>B37*D37</f>
        <v>1444</v>
      </c>
      <c r="O37" s="8">
        <f>(C37-B37)*D37</f>
        <v>684</v>
      </c>
      <c r="P37" s="8">
        <f>((C37-B37)*D37)-((C37*5%)*D37)-((C37*12%)*D37)-((C37*0.5%)*D37)</f>
        <v>311.60000000000002</v>
      </c>
      <c r="Q37" s="8">
        <f>B37*D37</f>
        <v>1444</v>
      </c>
    </row>
    <row r="38">
      <c r="A38" s="6" t="s">
        <v>63</v>
      </c>
      <c r="B38" s="7">
        <v>39</v>
      </c>
      <c r="C38" s="7">
        <v>58</v>
      </c>
      <c r="D38" s="7">
        <v>36</v>
      </c>
      <c r="E38" s="8">
        <f>C38*5%</f>
        <v>2.9000000000000004</v>
      </c>
      <c r="F38" s="9">
        <f>C38*12%</f>
        <v>6.96</v>
      </c>
      <c r="G38" s="8">
        <f>C38*0.5%</f>
        <v>0.28999999999999998</v>
      </c>
      <c r="H38" s="8">
        <f>B38*D38</f>
        <v>1404</v>
      </c>
      <c r="I38" s="8">
        <f>C38*D38</f>
        <v>2088</v>
      </c>
      <c r="J38" s="8">
        <f>E38*D38</f>
        <v>104.40000000000001</v>
      </c>
      <c r="K38" s="8">
        <f>C38-B38</f>
        <v>19</v>
      </c>
      <c r="L38" s="8">
        <f>(C38*12%)*D38</f>
        <v>250.56</v>
      </c>
      <c r="M38" s="8">
        <f>(C38-(C38*5%))*D38</f>
        <v>1983.6000000000001</v>
      </c>
      <c r="N38" s="8">
        <f>B38*D38</f>
        <v>1404</v>
      </c>
      <c r="O38" s="8">
        <f>(C38-B38)*D38</f>
        <v>684</v>
      </c>
      <c r="P38" s="8">
        <f>((C38-B38)*D38)-((C38*5%)*D38)-((C38*12%)*D38)-((C38*0.5%)*D38)</f>
        <v>318.60000000000002</v>
      </c>
      <c r="Q38" s="8">
        <f>B38*D38</f>
        <v>1404</v>
      </c>
    </row>
    <row r="39">
      <c r="A39" s="6" t="s">
        <v>64</v>
      </c>
      <c r="B39" s="7">
        <v>40</v>
      </c>
      <c r="C39" s="7">
        <v>60</v>
      </c>
      <c r="D39" s="7">
        <v>34</v>
      </c>
      <c r="E39" s="8">
        <f>C39*5%</f>
        <v>3</v>
      </c>
      <c r="F39" s="9">
        <f>C39*12%</f>
        <v>7.1999999999999993</v>
      </c>
      <c r="G39" s="8">
        <f>C39*0.5%</f>
        <v>0.29999999999999999</v>
      </c>
      <c r="H39" s="8">
        <f>B39*D39</f>
        <v>1360</v>
      </c>
      <c r="I39" s="8">
        <f>C39*D39</f>
        <v>2040</v>
      </c>
      <c r="J39" s="8">
        <f>E39*D39</f>
        <v>102</v>
      </c>
      <c r="K39" s="8">
        <f>C39-B39</f>
        <v>20</v>
      </c>
      <c r="L39" s="8">
        <f>(C39*12%)*D39</f>
        <v>244.79999999999998</v>
      </c>
      <c r="M39" s="8">
        <f>(C39-(C39*5%))*D39</f>
        <v>1938</v>
      </c>
      <c r="N39" s="8">
        <f>B39*D39</f>
        <v>1360</v>
      </c>
      <c r="O39" s="8">
        <f>(C39-B39)*D39</f>
        <v>680</v>
      </c>
      <c r="P39" s="8">
        <f>((C39-B39)*D39)-((C39*5%)*D39)-((C39*12%)*D39)-((C39*0.5%)*D39)</f>
        <v>323.00000000000006</v>
      </c>
      <c r="Q39" s="8">
        <f>B39*D39</f>
        <v>1360</v>
      </c>
    </row>
    <row r="40">
      <c r="A40" s="6" t="s">
        <v>65</v>
      </c>
      <c r="B40" s="7">
        <v>41</v>
      </c>
      <c r="C40" s="7">
        <v>62</v>
      </c>
      <c r="D40" s="7">
        <v>32</v>
      </c>
      <c r="E40" s="8">
        <f>C40*5%</f>
        <v>3.1000000000000001</v>
      </c>
      <c r="F40" s="9">
        <f>C40*12%</f>
        <v>7.4399999999999995</v>
      </c>
      <c r="G40" s="8">
        <f>C40*0.5%</f>
        <v>0.31</v>
      </c>
      <c r="H40" s="8">
        <f>B40*D40</f>
        <v>1312</v>
      </c>
      <c r="I40" s="8">
        <f>C40*D40</f>
        <v>1984</v>
      </c>
      <c r="J40" s="8">
        <f>E40*D40</f>
        <v>99.200000000000003</v>
      </c>
      <c r="K40" s="8">
        <f>C40-B40</f>
        <v>21</v>
      </c>
      <c r="L40" s="8">
        <f>(C40*12%)*D40</f>
        <v>238.07999999999998</v>
      </c>
      <c r="M40" s="8">
        <f>(C40-(C40*5%))*D40</f>
        <v>1884.8</v>
      </c>
      <c r="N40" s="8">
        <f>B40*D40</f>
        <v>1312</v>
      </c>
      <c r="O40" s="8">
        <f>(C40-B40)*D40</f>
        <v>672</v>
      </c>
      <c r="P40" s="8">
        <f>((C40-B40)*D40)-((C40*5%)*D40)-((C40*12%)*D40)-((C40*0.5%)*D40)</f>
        <v>324.79999999999995</v>
      </c>
      <c r="Q40" s="8">
        <f>B40*D40</f>
        <v>1312</v>
      </c>
    </row>
    <row r="41">
      <c r="A41" s="6" t="s">
        <v>66</v>
      </c>
      <c r="B41" s="7">
        <v>42</v>
      </c>
      <c r="C41" s="7">
        <v>64</v>
      </c>
      <c r="D41" s="7">
        <v>30</v>
      </c>
      <c r="E41" s="8">
        <f>C41*5%</f>
        <v>3.2000000000000002</v>
      </c>
      <c r="F41" s="9">
        <f>C41*12%</f>
        <v>7.6799999999999997</v>
      </c>
      <c r="G41" s="8">
        <f>C41*0.5%</f>
        <v>0.32000000000000001</v>
      </c>
      <c r="H41" s="8">
        <f>B41*D41</f>
        <v>1260</v>
      </c>
      <c r="I41" s="8">
        <f>C41*D41</f>
        <v>1920</v>
      </c>
      <c r="J41" s="8">
        <f>E41*D41</f>
        <v>96</v>
      </c>
      <c r="K41" s="8">
        <f>C41-B41</f>
        <v>22</v>
      </c>
      <c r="L41" s="8">
        <f>(C41*12%)*D41</f>
        <v>230.39999999999998</v>
      </c>
      <c r="M41" s="8">
        <f>(C41-(C41*5%))*D41</f>
        <v>1824</v>
      </c>
      <c r="N41" s="8">
        <f>B41*D41</f>
        <v>1260</v>
      </c>
      <c r="O41" s="8">
        <f>(C41-B41)*D41</f>
        <v>660</v>
      </c>
      <c r="P41" s="8">
        <f>((C41-B41)*D41)-((C41*5%)*D41)-((C41*12%)*D41)-((C41*0.5%)*D41)</f>
        <v>324</v>
      </c>
      <c r="Q41" s="8">
        <f>B41*D41</f>
        <v>1260</v>
      </c>
    </row>
    <row r="42">
      <c r="A42" s="6" t="s">
        <v>67</v>
      </c>
      <c r="B42" s="7">
        <v>43</v>
      </c>
      <c r="C42" s="7">
        <v>66</v>
      </c>
      <c r="D42" s="7">
        <v>28</v>
      </c>
      <c r="E42" s="8">
        <f>C42*5%</f>
        <v>3.3000000000000003</v>
      </c>
      <c r="F42" s="9">
        <f>C42*12%</f>
        <v>7.9199999999999999</v>
      </c>
      <c r="G42" s="8">
        <f>C42*0.5%</f>
        <v>0.33000000000000002</v>
      </c>
      <c r="H42" s="8">
        <f>B42*D42</f>
        <v>1204</v>
      </c>
      <c r="I42" s="8">
        <f>C42*D42</f>
        <v>1848</v>
      </c>
      <c r="J42" s="8">
        <f>E42*D42</f>
        <v>92.400000000000006</v>
      </c>
      <c r="K42" s="8">
        <f>C42-B42</f>
        <v>23</v>
      </c>
      <c r="L42" s="8">
        <f>(C42*12%)*D42</f>
        <v>221.75999999999999</v>
      </c>
      <c r="M42" s="8">
        <f>(C42-(C42*5%))*D42</f>
        <v>1755.6000000000001</v>
      </c>
      <c r="N42" s="8">
        <f>B42*D42</f>
        <v>1204</v>
      </c>
      <c r="O42" s="8">
        <f>(C42-B42)*D42</f>
        <v>644</v>
      </c>
      <c r="P42" s="8">
        <f>((C42-B42)*D42)-((C42*5%)*D42)-((C42*12%)*D42)-((C42*0.5%)*D42)</f>
        <v>320.60000000000002</v>
      </c>
      <c r="Q42" s="8">
        <f>B42*D42</f>
        <v>1204</v>
      </c>
    </row>
    <row r="43">
      <c r="A43" s="6" t="s">
        <v>68</v>
      </c>
      <c r="B43" s="7">
        <v>44</v>
      </c>
      <c r="C43" s="7">
        <v>68</v>
      </c>
      <c r="D43" s="7">
        <v>26</v>
      </c>
      <c r="E43" s="8">
        <f>C43*5%</f>
        <v>3.4000000000000004</v>
      </c>
      <c r="F43" s="9">
        <f>C43*12%</f>
        <v>8.1600000000000001</v>
      </c>
      <c r="G43" s="8">
        <f>C43*0.5%</f>
        <v>0.34000000000000002</v>
      </c>
      <c r="H43" s="8">
        <f>B43*D43</f>
        <v>1144</v>
      </c>
      <c r="I43" s="8">
        <f>C43*D43</f>
        <v>1768</v>
      </c>
      <c r="J43" s="8">
        <f>E43*D43</f>
        <v>88.400000000000006</v>
      </c>
      <c r="K43" s="8">
        <f>C43-B43</f>
        <v>24</v>
      </c>
      <c r="L43" s="8">
        <f>(C43*12%)*D43</f>
        <v>212.16</v>
      </c>
      <c r="M43" s="8">
        <f>(C43-(C43*5%))*D43</f>
        <v>1679.5999999999999</v>
      </c>
      <c r="N43" s="8">
        <f>B43*D43</f>
        <v>1144</v>
      </c>
      <c r="O43" s="8">
        <f>(C43-B43)*D43</f>
        <v>624</v>
      </c>
      <c r="P43" s="8">
        <f>((C43-B43)*D43)-((C43*5%)*D43)-((C43*12%)*D43)-((C43*0.5%)*D43)</f>
        <v>314.60000000000008</v>
      </c>
      <c r="Q43" s="8">
        <f>B43*D43</f>
        <v>1144</v>
      </c>
    </row>
    <row r="44">
      <c r="A44" s="6" t="s">
        <v>69</v>
      </c>
      <c r="B44" s="7">
        <v>45</v>
      </c>
      <c r="C44" s="7">
        <v>70</v>
      </c>
      <c r="D44" s="7">
        <v>24</v>
      </c>
      <c r="E44" s="8">
        <f>C44*5%</f>
        <v>3.5</v>
      </c>
      <c r="F44" s="9">
        <f>C44*12%</f>
        <v>8.4000000000000004</v>
      </c>
      <c r="G44" s="8">
        <f>C44*0.5%</f>
        <v>0.35000000000000003</v>
      </c>
      <c r="H44" s="8">
        <f>B44*D44</f>
        <v>1080</v>
      </c>
      <c r="I44" s="8">
        <f>C44*D44</f>
        <v>1680</v>
      </c>
      <c r="J44" s="8">
        <f>E44*D44</f>
        <v>84</v>
      </c>
      <c r="K44" s="8">
        <f>C44-B44</f>
        <v>25</v>
      </c>
      <c r="L44" s="8">
        <f>(C44*12%)*D44</f>
        <v>201.60000000000002</v>
      </c>
      <c r="M44" s="8">
        <f>(C44-(C44*5%))*D44</f>
        <v>1596</v>
      </c>
      <c r="N44" s="8">
        <f>B44*D44</f>
        <v>1080</v>
      </c>
      <c r="O44" s="8">
        <f>(C44-B44)*D44</f>
        <v>600</v>
      </c>
      <c r="P44" s="8">
        <f>((C44-B44)*D44)-((C44*5%)*D44)-((C44*12%)*D44)-((C44*0.5%)*D44)</f>
        <v>306</v>
      </c>
      <c r="Q44" s="8">
        <f>B44*D44</f>
        <v>1080</v>
      </c>
    </row>
    <row r="45">
      <c r="A45" s="6" t="s">
        <v>70</v>
      </c>
      <c r="B45" s="7">
        <v>46</v>
      </c>
      <c r="C45" s="7">
        <v>72</v>
      </c>
      <c r="D45" s="7">
        <v>22</v>
      </c>
      <c r="E45" s="8">
        <f>C45*5%</f>
        <v>3.6000000000000001</v>
      </c>
      <c r="F45" s="9">
        <f>C45*12%</f>
        <v>8.6400000000000006</v>
      </c>
      <c r="G45" s="8">
        <f>C45*0.5%</f>
        <v>0.35999999999999999</v>
      </c>
      <c r="H45" s="8">
        <f>B45*D45</f>
        <v>1012</v>
      </c>
      <c r="I45" s="8">
        <f>C45*D45</f>
        <v>1584</v>
      </c>
      <c r="J45" s="8">
        <f>E45*D45</f>
        <v>79.200000000000003</v>
      </c>
      <c r="K45" s="8">
        <f>C45-B45</f>
        <v>26</v>
      </c>
      <c r="L45" s="8">
        <f>(C45*12%)*D45</f>
        <v>190.08000000000001</v>
      </c>
      <c r="M45" s="8">
        <f>(C45-(C45*5%))*D45</f>
        <v>1504.8000000000002</v>
      </c>
      <c r="N45" s="8">
        <f>B45*D45</f>
        <v>1012</v>
      </c>
      <c r="O45" s="8">
        <f>(C45-B45)*D45</f>
        <v>572</v>
      </c>
      <c r="P45" s="8">
        <f>((C45-B45)*D45)-((C45*5%)*D45)-((C45*12%)*D45)-((C45*0.5%)*D45)</f>
        <v>294.80000000000001</v>
      </c>
      <c r="Q45" s="8">
        <f>B45*D45</f>
        <v>1012</v>
      </c>
    </row>
    <row r="46">
      <c r="A46" s="6" t="s">
        <v>71</v>
      </c>
      <c r="B46" s="7">
        <v>47</v>
      </c>
      <c r="C46" s="7">
        <v>74</v>
      </c>
      <c r="D46" s="7">
        <v>20</v>
      </c>
      <c r="E46" s="8">
        <f>C46*5%</f>
        <v>3.7000000000000002</v>
      </c>
      <c r="F46" s="9">
        <f>C46*12%</f>
        <v>8.879999999999999</v>
      </c>
      <c r="G46" s="8">
        <f>C46*0.5%</f>
        <v>0.37</v>
      </c>
      <c r="H46" s="8">
        <f>B46*D46</f>
        <v>940</v>
      </c>
      <c r="I46" s="8">
        <f>C46*D46</f>
        <v>1480</v>
      </c>
      <c r="J46" s="8">
        <f>E46*D46</f>
        <v>74</v>
      </c>
      <c r="K46" s="8">
        <f>C46-B46</f>
        <v>27</v>
      </c>
      <c r="L46" s="8">
        <f>(C46*12%)*D46</f>
        <v>177.59999999999997</v>
      </c>
      <c r="M46" s="8">
        <f>(C46-(C46*5%))*D46</f>
        <v>1406</v>
      </c>
      <c r="N46" s="8">
        <f>B46*D46</f>
        <v>940</v>
      </c>
      <c r="O46" s="8">
        <f>(C46-B46)*D46</f>
        <v>540</v>
      </c>
      <c r="P46" s="8">
        <f>((C46-B46)*D46)-((C46*5%)*D46)-((C46*12%)*D46)-((C46*0.5%)*D46)</f>
        <v>281.00000000000006</v>
      </c>
      <c r="Q46" s="8">
        <f>B46*D46</f>
        <v>940</v>
      </c>
    </row>
    <row r="47">
      <c r="A47" s="6" t="s">
        <v>72</v>
      </c>
      <c r="B47" s="7">
        <v>48</v>
      </c>
      <c r="C47" s="7">
        <v>76</v>
      </c>
      <c r="D47" s="7">
        <v>18</v>
      </c>
      <c r="E47" s="8">
        <f>C47*5%</f>
        <v>3.8000000000000003</v>
      </c>
      <c r="F47" s="9">
        <f>C47*12%</f>
        <v>9.1199999999999992</v>
      </c>
      <c r="G47" s="8">
        <f>C47*0.5%</f>
        <v>0.38</v>
      </c>
      <c r="H47" s="8">
        <f>B47*D47</f>
        <v>864</v>
      </c>
      <c r="I47" s="8">
        <f>C47*D47</f>
        <v>1368</v>
      </c>
      <c r="J47" s="8">
        <f>E47*D47</f>
        <v>68.400000000000006</v>
      </c>
      <c r="K47" s="8">
        <f>C47-B47</f>
        <v>28</v>
      </c>
      <c r="L47" s="8">
        <f>(C47*12%)*D47</f>
        <v>164.16</v>
      </c>
      <c r="M47" s="8">
        <f>(C47-(C47*5%))*D47</f>
        <v>1299.6000000000001</v>
      </c>
      <c r="N47" s="8">
        <f>B47*D47</f>
        <v>864</v>
      </c>
      <c r="O47" s="8">
        <f>(C47-B47)*D47</f>
        <v>504</v>
      </c>
      <c r="P47" s="8">
        <f>((C47-B47)*D47)-((C47*5%)*D47)-((C47*12%)*D47)-((C47*0.5%)*D47)</f>
        <v>264.60000000000008</v>
      </c>
      <c r="Q47" s="8">
        <f>B47*D47</f>
        <v>864</v>
      </c>
    </row>
    <row r="48">
      <c r="A48" s="6" t="s">
        <v>73</v>
      </c>
      <c r="B48" s="7">
        <v>49</v>
      </c>
      <c r="C48" s="7">
        <v>78</v>
      </c>
      <c r="D48" s="7">
        <v>16</v>
      </c>
      <c r="E48" s="8">
        <f>C48*5%</f>
        <v>3.9000000000000004</v>
      </c>
      <c r="F48" s="9">
        <f>C48*12%</f>
        <v>9.3599999999999994</v>
      </c>
      <c r="G48" s="8">
        <f>C48*0.5%</f>
        <v>0.39000000000000001</v>
      </c>
      <c r="H48" s="8">
        <f>B48*D48</f>
        <v>784</v>
      </c>
      <c r="I48" s="8">
        <f>C48*D48</f>
        <v>1248</v>
      </c>
      <c r="J48" s="8">
        <f>E48*D48</f>
        <v>62.400000000000006</v>
      </c>
      <c r="K48" s="8">
        <f>C48-B48</f>
        <v>29</v>
      </c>
      <c r="L48" s="8">
        <f>(C48*12%)*D48</f>
        <v>149.75999999999999</v>
      </c>
      <c r="M48" s="8">
        <f>(C48-(C48*5%))*D48</f>
        <v>1185.5999999999999</v>
      </c>
      <c r="N48" s="8">
        <f>B48*D48</f>
        <v>784</v>
      </c>
      <c r="O48" s="8">
        <f>(C48-B48)*D48</f>
        <v>464</v>
      </c>
      <c r="P48" s="8">
        <f>((C48-B48)*D48)-((C48*5%)*D48)-((C48*12%)*D48)-((C48*0.5%)*D48)</f>
        <v>245.60000000000002</v>
      </c>
      <c r="Q48" s="8">
        <f>B48*D48</f>
        <v>784</v>
      </c>
    </row>
    <row r="49">
      <c r="A49" s="6" t="s">
        <v>74</v>
      </c>
      <c r="B49" s="7">
        <v>50</v>
      </c>
      <c r="C49" s="7">
        <v>80</v>
      </c>
      <c r="D49" s="7">
        <v>14</v>
      </c>
      <c r="E49" s="8">
        <f>C49*5%</f>
        <v>4</v>
      </c>
      <c r="F49" s="9">
        <f>C49*12%</f>
        <v>9.5999999999999996</v>
      </c>
      <c r="G49" s="8">
        <f>C49*0.5%</f>
        <v>0.40000000000000002</v>
      </c>
      <c r="H49" s="8">
        <f>B49*D49</f>
        <v>700</v>
      </c>
      <c r="I49" s="8">
        <f>C49*D49</f>
        <v>1120</v>
      </c>
      <c r="J49" s="8">
        <f>E49*D49</f>
        <v>56</v>
      </c>
      <c r="K49" s="8">
        <f>C49-B49</f>
        <v>30</v>
      </c>
      <c r="L49" s="8">
        <f>(C49*12%)*D49</f>
        <v>134.40000000000001</v>
      </c>
      <c r="M49" s="8">
        <f>(C49-(C49*5%))*D49</f>
        <v>1064</v>
      </c>
      <c r="N49" s="8">
        <f>B49*D49</f>
        <v>700</v>
      </c>
      <c r="O49" s="8">
        <f>(C49-B49)*D49</f>
        <v>420</v>
      </c>
      <c r="P49" s="8">
        <f>((C49-B49)*D49)-((C49*5%)*D49)-((C49*12%)*D49)-((C49*0.5%)*D49)</f>
        <v>224</v>
      </c>
      <c r="Q49" s="8">
        <f>B49*D49</f>
        <v>700</v>
      </c>
    </row>
    <row r="50">
      <c r="A50" s="6" t="s">
        <v>75</v>
      </c>
      <c r="B50" s="7">
        <v>51</v>
      </c>
      <c r="C50" s="7">
        <v>82</v>
      </c>
      <c r="D50" s="7">
        <v>12</v>
      </c>
      <c r="E50" s="8">
        <f>C50*5%</f>
        <v>4.1000000000000005</v>
      </c>
      <c r="F50" s="9">
        <f>C50*12%</f>
        <v>9.8399999999999999</v>
      </c>
      <c r="G50" s="8">
        <f>C50*0.5%</f>
        <v>0.41000000000000003</v>
      </c>
      <c r="H50" s="8">
        <f>B50*D50</f>
        <v>612</v>
      </c>
      <c r="I50" s="8">
        <f>C50*D50</f>
        <v>984</v>
      </c>
      <c r="J50" s="8">
        <f>E50*D50</f>
        <v>49.200000000000003</v>
      </c>
      <c r="K50" s="8">
        <f>C50-B50</f>
        <v>31</v>
      </c>
      <c r="L50" s="8">
        <f>(C50*12%)*D50</f>
        <v>118.08</v>
      </c>
      <c r="M50" s="8">
        <f>(C50-(C50*5%))*D50</f>
        <v>934.80000000000007</v>
      </c>
      <c r="N50" s="8">
        <f>B50*D50</f>
        <v>612</v>
      </c>
      <c r="O50" s="8">
        <f>(C50-B50)*D50</f>
        <v>372</v>
      </c>
      <c r="P50" s="8">
        <f>((C50-B50)*D50)-((C50*5%)*D50)-((C50*12%)*D50)-((C50*0.5%)*D50)</f>
        <v>199.80000000000004</v>
      </c>
      <c r="Q50" s="8">
        <f>B50*D50</f>
        <v>612</v>
      </c>
    </row>
    <row r="51">
      <c r="A51" s="6" t="s">
        <v>76</v>
      </c>
      <c r="B51" s="7">
        <v>52</v>
      </c>
      <c r="C51" s="7">
        <v>85</v>
      </c>
      <c r="D51" s="7">
        <v>10</v>
      </c>
      <c r="E51" s="8">
        <f>C51*5%</f>
        <v>4.25</v>
      </c>
      <c r="F51" s="9">
        <f>C51*12%</f>
        <v>10.199999999999999</v>
      </c>
      <c r="G51" s="8">
        <f>C51*0.5%</f>
        <v>0.42499999999999999</v>
      </c>
      <c r="H51" s="8">
        <f>B51*D51</f>
        <v>520</v>
      </c>
      <c r="I51" s="8">
        <f>C51*D51</f>
        <v>850</v>
      </c>
      <c r="J51" s="8">
        <f>E51*D51</f>
        <v>42.5</v>
      </c>
      <c r="K51" s="8">
        <f>C51-B51</f>
        <v>33</v>
      </c>
      <c r="L51" s="8">
        <f>(C51*12%)*D51</f>
        <v>102</v>
      </c>
      <c r="M51" s="8">
        <f>(C51-(C51*5%))*D51</f>
        <v>807.5</v>
      </c>
      <c r="N51" s="8">
        <f>B51*D51</f>
        <v>520</v>
      </c>
      <c r="O51" s="8">
        <f>(C51-B51)*D51</f>
        <v>330</v>
      </c>
      <c r="P51" s="8">
        <f>((C51-B51)*D51)-((C51*5%)*D51)-((C51*12%)*D51)-((C51*0.5%)*D51)</f>
        <v>181.25</v>
      </c>
      <c r="Q51" s="8">
        <f>B51*D51</f>
        <v>520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2026-02-24T08:38:01Z</dcterms:modified>
</cp:coreProperties>
</file>