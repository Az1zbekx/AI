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<sst xmlns="http://schemas.openxmlformats.org/spreadsheetml/2006/main" count="126" uniqueCount="126">
  <si>
    <t xml:space="preserve">Ism Familiya</t>
  </si>
  <si>
    <t xml:space="preserve">Oylik maosh</t>
  </si>
  <si>
    <t>Jinsi</t>
  </si>
  <si>
    <t>Yoshi</t>
  </si>
  <si>
    <t xml:space="preserve"> </t>
  </si>
  <si>
    <t xml:space="preserve">1. Jadvaldagi barcha xodimlarning oylik maoshlarining umumiy yig‘indisini hisoblang.</t>
  </si>
  <si>
    <t xml:space="preserve">Aziz Abduvayev</t>
  </si>
  <si>
    <t>Erkak</t>
  </si>
  <si>
    <t xml:space="preserve">2. Barcha ayol xodimlarning maoshlari yig‘indisini hisoblang.</t>
  </si>
  <si>
    <t xml:space="preserve">Islom Toshpulatov</t>
  </si>
  <si>
    <t xml:space="preserve">3. 30 yoshdan katta xodimlarning umumiy maoshini toping.</t>
  </si>
  <si>
    <t xml:space="preserve">Bekzod Yuldashev</t>
  </si>
  <si>
    <t xml:space="preserve">4. Erkak xodimlarning jami maoshini hisoblang.</t>
  </si>
  <si>
    <t xml:space="preserve">Bekzod Tursunov</t>
  </si>
  <si>
    <t xml:space="preserve">5. Ayol xodimlarning jami maoshini hisoblang.</t>
  </si>
  <si>
    <t xml:space="preserve">Gulnoza Sobirova</t>
  </si>
  <si>
    <t>Ayol</t>
  </si>
  <si>
    <t xml:space="preserve">6. Maoshi 2000 dan katta bo‘lgan xodimlar maoshlarining yig‘indisini toping.</t>
  </si>
  <si>
    <t xml:space="preserve">Laylo Sattorova</t>
  </si>
  <si>
    <t xml:space="preserve">7. Ayol va yoshi 30 dan katta xodimlarning maosh yig‘indisini hisoblang.</t>
  </si>
  <si>
    <t xml:space="preserve">Gulnoza Sattorova</t>
  </si>
  <si>
    <t xml:space="preserve">8. Erkak va yoshi 40 dan katta xodimlar maoshlarining yig‘indisini toping.</t>
  </si>
  <si>
    <t xml:space="preserve">Jamshid Karimov</t>
  </si>
  <si>
    <t xml:space="preserve">9. Maoshi 1500 dan katta va yoshi 35 dan kichik xodimlar maoshlarining yig‘indisini hisoblang.</t>
  </si>
  <si>
    <t xml:space="preserve">Laylo Yuldasheva</t>
  </si>
  <si>
    <t xml:space="preserve">10. Barcha xodimlarning o‘rtacha maoshini hisoblang.</t>
  </si>
  <si>
    <t xml:space="preserve">Ali Aliyev</t>
  </si>
  <si>
    <t xml:space="preserve">11. Barcha xodimlarning o‘rtacha yoshini hisoblang.</t>
  </si>
  <si>
    <t xml:space="preserve">Jamshid Toshpulatov</t>
  </si>
  <si>
    <t xml:space="preserve">12. Ayol xodimlarning o‘rtacha maoshini toping.</t>
  </si>
  <si>
    <t xml:space="preserve">Madina Ergasheva</t>
  </si>
  <si>
    <t xml:space="preserve">13. Erkak xodimlarning o‘rtacha yoshini hisoblang.</t>
  </si>
  <si>
    <t xml:space="preserve">Islom Karimov</t>
  </si>
  <si>
    <t xml:space="preserve">14. Maoshi 1000 dan katta bo‘lgan xodimlarning o‘rtacha maoshini toping.</t>
  </si>
  <si>
    <t xml:space="preserve">Sardor Toshpulatov</t>
  </si>
  <si>
    <t xml:space="preserve">15. Ayol va yoshi 40 dan katta xodimlarning o‘rtacha maoshini hisoblang.</t>
  </si>
  <si>
    <t xml:space="preserve">Gulnoza Karimova</t>
  </si>
  <si>
    <t xml:space="preserve">16. Erkak va yoshi 30 dan kichik xodimlarning o‘rtacha maoshini toping.</t>
  </si>
  <si>
    <t xml:space="preserve">Mohira Karimova</t>
  </si>
  <si>
    <t xml:space="preserve">17. Maoshi 1500 dan katta va yoshi 50 dan kichik xodimlarning o‘rtacha yoshini hisoblang.</t>
  </si>
  <si>
    <t xml:space="preserve">Bobur Abduvayev</t>
  </si>
  <si>
    <t xml:space="preserve">18. Jadvaldagi barcha xodimlar sonini hisoblang.</t>
  </si>
  <si>
    <t xml:space="preserve">Dilshod Sattorov</t>
  </si>
  <si>
    <t xml:space="preserve">19. Jadvaldagi maosh qiymatlari nechta ekanligini aniqlang.</t>
  </si>
  <si>
    <t xml:space="preserve">Islom Raximov</t>
  </si>
  <si>
    <t xml:space="preserve">20. Ayol xodimlar sonini hisoblang.</t>
  </si>
  <si>
    <t xml:space="preserve">Sherzod Tursunov</t>
  </si>
  <si>
    <t xml:space="preserve">21. Erkak xodimlar sonini hisoblang.</t>
  </si>
  <si>
    <t xml:space="preserve">Jasur Ergashev</t>
  </si>
  <si>
    <t xml:space="preserve">22. Maoshi 2000 dan katta bo‘lgan xodimlar sonini toping.</t>
  </si>
  <si>
    <t xml:space="preserve">Nilufar Raximova</t>
  </si>
  <si>
    <t xml:space="preserve">23. Ayol va yoshi 40 dan katta xodimlar sonini hisoblang.</t>
  </si>
  <si>
    <t xml:space="preserve">Sevara Tursunova</t>
  </si>
  <si>
    <t xml:space="preserve">24. Erkak va yoshi 30 dan kichik xodimlar sonini toping.</t>
  </si>
  <si>
    <t xml:space="preserve">Aziz Ergashev</t>
  </si>
  <si>
    <t xml:space="preserve">25. Jadvaldagi eng katta maosh va eng kichik maosh qiymatini aniqlang.</t>
  </si>
  <si>
    <t xml:space="preserve">Malika Raximova</t>
  </si>
  <si>
    <t xml:space="preserve">Sherzod Raximov</t>
  </si>
  <si>
    <t xml:space="preserve">Nigora Qodirova</t>
  </si>
  <si>
    <t xml:space="preserve">Zarina Karimova</t>
  </si>
  <si>
    <t xml:space="preserve">Bobur Toshpulatov</t>
  </si>
  <si>
    <t xml:space="preserve">Sherzod Abduvayev</t>
  </si>
  <si>
    <t xml:space="preserve">Madina Sattorova</t>
  </si>
  <si>
    <t xml:space="preserve">Shahzoda Raximova</t>
  </si>
  <si>
    <t xml:space="preserve">Zarina Tursunova</t>
  </si>
  <si>
    <t xml:space="preserve">Akmal Nazarov</t>
  </si>
  <si>
    <t xml:space="preserve">Gulnoza Xasanova</t>
  </si>
  <si>
    <t xml:space="preserve">Zilola Nazarova</t>
  </si>
  <si>
    <t xml:space="preserve">Nigora Toshpulatova</t>
  </si>
  <si>
    <t xml:space="preserve">Sherzod Karimov</t>
  </si>
  <si>
    <t xml:space="preserve">Ali Sattorov</t>
  </si>
  <si>
    <t xml:space="preserve">Zilola Yuldasheva</t>
  </si>
  <si>
    <t xml:space="preserve">Bobur Qodirov</t>
  </si>
  <si>
    <t xml:space="preserve">Bobur Sobirov</t>
  </si>
  <si>
    <t xml:space="preserve">Gulnoza Toshpulatova</t>
  </si>
  <si>
    <t xml:space="preserve">Malika Sattorova</t>
  </si>
  <si>
    <t xml:space="preserve">Laylo Aliyeva</t>
  </si>
  <si>
    <t xml:space="preserve">Jasur Sobirov</t>
  </si>
  <si>
    <t xml:space="preserve">Rustam Aliyev</t>
  </si>
  <si>
    <t xml:space="preserve">Bekzod Sobirov</t>
  </si>
  <si>
    <t xml:space="preserve">Bobur Aliyev</t>
  </si>
  <si>
    <t xml:space="preserve">Umid Toshpulatov</t>
  </si>
  <si>
    <t xml:space="preserve">Shahnoza Nazarova</t>
  </si>
  <si>
    <t xml:space="preserve">Jasur Xasanov</t>
  </si>
  <si>
    <t xml:space="preserve">Shoxrux Islomov</t>
  </si>
  <si>
    <t xml:space="preserve">Akmal Tursunov</t>
  </si>
  <si>
    <t xml:space="preserve">Gulnoza Yuldasheva</t>
  </si>
  <si>
    <t xml:space="preserve">Laylo Mirzayeva</t>
  </si>
  <si>
    <t xml:space="preserve">Nilufar Abduvayeva</t>
  </si>
  <si>
    <t xml:space="preserve">Shoxrux Raximov</t>
  </si>
  <si>
    <t xml:space="preserve">Rustam Toshpulatov</t>
  </si>
  <si>
    <t xml:space="preserve">Oybek Sattorov</t>
  </si>
  <si>
    <t xml:space="preserve">Ali Sobirov</t>
  </si>
  <si>
    <t xml:space="preserve">Malika Mirzayeva</t>
  </si>
  <si>
    <t xml:space="preserve">Aziz Yuldashev</t>
  </si>
  <si>
    <t xml:space="preserve">Ali Karimov</t>
  </si>
  <si>
    <t xml:space="preserve">Aziz Karimov</t>
  </si>
  <si>
    <t xml:space="preserve">Islom Sattorov</t>
  </si>
  <si>
    <t xml:space="preserve">Shoxrux Mirzayev</t>
  </si>
  <si>
    <t xml:space="preserve">Madina Mirzayeva</t>
  </si>
  <si>
    <t xml:space="preserve">Shahnoza Islomova</t>
  </si>
  <si>
    <t xml:space="preserve">Zarina Raximova</t>
  </si>
  <si>
    <t xml:space="preserve">Shahzoda Aliyeva</t>
  </si>
  <si>
    <t xml:space="preserve">Sardor Yuldashev</t>
  </si>
  <si>
    <t xml:space="preserve">Bekzod Abduvayev</t>
  </si>
  <si>
    <t xml:space="preserve">Sardor Raximov</t>
  </si>
  <si>
    <t xml:space="preserve">Bekzod Aliyev</t>
  </si>
  <si>
    <t xml:space="preserve">Umid Nazarov</t>
  </si>
  <si>
    <t xml:space="preserve">Shahnoza Aliyeva</t>
  </si>
  <si>
    <t xml:space="preserve">Nilufar Ergasheva</t>
  </si>
  <si>
    <t xml:space="preserve">Madina Qodirova</t>
  </si>
  <si>
    <t xml:space="preserve">Aziza Ergasheva</t>
  </si>
  <si>
    <t xml:space="preserve">Jamshid Nazarov</t>
  </si>
  <si>
    <t xml:space="preserve">Shoxrux Abduvayev</t>
  </si>
  <si>
    <t xml:space="preserve">Akmal Karimov</t>
  </si>
  <si>
    <t xml:space="preserve">Rustam Qodirov</t>
  </si>
  <si>
    <t xml:space="preserve">Dilnoza Raximova</t>
  </si>
  <si>
    <t xml:space="preserve">Shahnoza Yuldasheva</t>
  </si>
  <si>
    <t xml:space="preserve">Nigora Abduvayeva</t>
  </si>
  <si>
    <t xml:space="preserve">Zarina Mirzayeva</t>
  </si>
  <si>
    <t xml:space="preserve">Dilnoza Islomova</t>
  </si>
  <si>
    <t xml:space="preserve">Mohira Nazarova</t>
  </si>
  <si>
    <t xml:space="preserve">Malika Toshpulatova</t>
  </si>
  <si>
    <t xml:space="preserve">Nigora Sobirova</t>
  </si>
  <si>
    <t xml:space="preserve">Sardor Abduvayev</t>
  </si>
  <si>
    <t xml:space="preserve">Shahnoza Ergasheva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</si>
</sst>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0" fillId="0" borderId="0" numFmtId="0" xfId="0" applyAlignment="1">
      <alignment horizontal="center"/>
    </xf>
    <xf fontId="1" fillId="0" borderId="0" numFmtId="0" xfId="0" applyFont="1"/>
    <xf fontId="1" fillId="2" borderId="1" numFmtId="0" xfId="0" applyFont="1" applyFill="1" applyBorder="1"/>
    <xf fontId="1" fillId="2" borderId="1" numFmtId="0" xfId="0" applyFont="1" applyFill="1" applyBorder="1" applyAlignment="1">
      <alignment horizontal="center"/>
    </xf>
    <xf fontId="0" fillId="0" borderId="2" numFmtId="0" xfId="0" applyBorder="1" applyAlignment="1">
      <alignment horizontal="center" vertical="center"/>
    </xf>
    <xf fontId="1" fillId="0" borderId="2" numFmtId="0" xfId="0" applyFont="1" applyBorder="1" applyAlignment="1">
      <alignment horizontal="center" vertical="center"/>
    </xf>
    <xf fontId="0" fillId="0" borderId="1" numFmtId="0" xfId="0" applyBorder="1"/>
    <xf fontId="0" fillId="0" borderId="1" numFmtId="0" xfId="0" applyBorder="1" applyAlignment="1">
      <alignment horizontal="center"/>
    </xf>
    <xf fontId="0" fillId="0" borderId="2" numFmtId="0" xfId="0" applyBorder="1" applyAlignment="1">
      <alignment horizontal="center" vertical="center"/>
      <protection hidden="0" locked="1"/>
    </xf>
    <xf fontId="0" fillId="0" borderId="2" numFmtId="0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100" workbookViewId="0">
      <selection activeCell="E7" activeCellId="0" sqref="E7"/>
    </sheetView>
  </sheetViews>
  <sheetFormatPr defaultRowHeight="14.25"/>
  <cols>
    <col bestFit="1" customWidth="1" min="1" max="1" width="19.21875"/>
    <col bestFit="1" customWidth="1" min="2" max="2" style="1" width="11.33203125"/>
    <col bestFit="1" customWidth="1" min="3" max="4" style="1" width="5.44140625"/>
    <col bestFit="1" min="6" max="6" width="81.8515625"/>
  </cols>
  <sheetData>
    <row r="1" s="2" customFormat="1">
      <c r="A1" s="3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5" t="s">
        <v>5</v>
      </c>
      <c r="G1" s="5">
        <f>SUM(B2:B101)</f>
        <v>145298</v>
      </c>
      <c r="H1" s="6"/>
    </row>
    <row r="2">
      <c r="A2" s="7" t="s">
        <v>6</v>
      </c>
      <c r="B2" s="8">
        <v>2141</v>
      </c>
      <c r="C2" s="8" t="s">
        <v>7</v>
      </c>
      <c r="D2" s="8">
        <v>23</v>
      </c>
      <c r="F2" s="5" t="s">
        <v>8</v>
      </c>
      <c r="G2" s="5">
        <f>SUMIF(C2:C101,C101,B2:B101)</f>
        <v>64482</v>
      </c>
      <c r="H2" s="5"/>
    </row>
    <row r="3">
      <c r="A3" s="7" t="s">
        <v>9</v>
      </c>
      <c r="B3" s="8">
        <v>1067</v>
      </c>
      <c r="C3" s="8" t="s">
        <v>7</v>
      </c>
      <c r="D3" s="8">
        <v>46</v>
      </c>
      <c r="F3" s="5" t="s">
        <v>10</v>
      </c>
      <c r="G3" s="5">
        <f>SUMIF(D2:D101,"&gt;30",B2:B101)</f>
        <v>95033</v>
      </c>
      <c r="H3" s="5"/>
    </row>
    <row r="4">
      <c r="A4" s="7" t="s">
        <v>11</v>
      </c>
      <c r="B4" s="8">
        <v>821</v>
      </c>
      <c r="C4" s="8" t="s">
        <v>7</v>
      </c>
      <c r="D4" s="8">
        <v>51</v>
      </c>
      <c r="F4" s="5" t="s">
        <v>12</v>
      </c>
      <c r="G4" s="5">
        <f>SUMIF(C2:C101,C100,B2:B101)</f>
        <v>80816</v>
      </c>
      <c r="H4" s="5"/>
    </row>
    <row r="5">
      <c r="A5" s="7" t="s">
        <v>13</v>
      </c>
      <c r="B5" s="8">
        <v>921</v>
      </c>
      <c r="C5" s="8" t="s">
        <v>7</v>
      </c>
      <c r="D5" s="8">
        <v>46</v>
      </c>
      <c r="F5" s="5" t="s">
        <v>14</v>
      </c>
      <c r="G5" s="9">
        <f>SUMIF(C2:C101,C101,B2:B101)</f>
        <v>64482</v>
      </c>
      <c r="H5" s="5"/>
    </row>
    <row r="6">
      <c r="A6" s="7" t="s">
        <v>15</v>
      </c>
      <c r="B6" s="8">
        <v>873</v>
      </c>
      <c r="C6" s="8" t="s">
        <v>16</v>
      </c>
      <c r="D6" s="8">
        <v>59</v>
      </c>
      <c r="F6" s="5" t="s">
        <v>17</v>
      </c>
      <c r="G6" s="5">
        <f>SUMIF(B2:B101,B100)</f>
        <v>2121</v>
      </c>
      <c r="H6" s="5"/>
    </row>
    <row r="7">
      <c r="A7" s="7" t="s">
        <v>18</v>
      </c>
      <c r="B7" s="8">
        <v>897</v>
      </c>
      <c r="C7" s="8" t="s">
        <v>16</v>
      </c>
      <c r="D7" s="8">
        <v>25</v>
      </c>
      <c r="F7" s="5" t="s">
        <v>19</v>
      </c>
      <c r="G7" s="5">
        <f>SUMIFS(B2:B101,C2:C101,C101,D2:D101,"&gt;30")</f>
        <v>45067</v>
      </c>
      <c r="H7" s="5"/>
    </row>
    <row r="8">
      <c r="A8" s="7" t="s">
        <v>20</v>
      </c>
      <c r="B8" s="8">
        <v>2351</v>
      </c>
      <c r="C8" s="8" t="s">
        <v>16</v>
      </c>
      <c r="D8" s="8">
        <v>58</v>
      </c>
      <c r="F8" s="5" t="s">
        <v>21</v>
      </c>
      <c r="G8" s="5">
        <f>SUMIFS(B2:B101,C2:C101,C2,D2:D101,"&gt;40")</f>
        <v>36225</v>
      </c>
      <c r="H8" s="5"/>
    </row>
    <row r="9">
      <c r="A9" s="7" t="s">
        <v>22</v>
      </c>
      <c r="B9" s="8">
        <v>1996</v>
      </c>
      <c r="C9" s="8" t="s">
        <v>7</v>
      </c>
      <c r="D9" s="8">
        <v>41</v>
      </c>
      <c r="F9" s="5" t="s">
        <v>23</v>
      </c>
      <c r="G9" s="5">
        <f>SUMIFS(B2:B101,B2:B101,"&gt;1500",D2:D101,"&lt;35")</f>
        <v>39424</v>
      </c>
      <c r="H9" s="5"/>
    </row>
    <row r="10">
      <c r="A10" s="7" t="s">
        <v>24</v>
      </c>
      <c r="B10" s="8">
        <v>2370</v>
      </c>
      <c r="C10" s="8" t="s">
        <v>16</v>
      </c>
      <c r="D10" s="8">
        <v>28</v>
      </c>
      <c r="F10" s="5" t="s">
        <v>25</v>
      </c>
      <c r="G10" s="5">
        <f>AVERAGE(B2:B101)</f>
        <v>1452.98</v>
      </c>
      <c r="H10" s="5"/>
    </row>
    <row r="11">
      <c r="A11" s="7" t="s">
        <v>26</v>
      </c>
      <c r="B11" s="8">
        <v>959</v>
      </c>
      <c r="C11" s="8" t="s">
        <v>7</v>
      </c>
      <c r="D11" s="8">
        <v>22</v>
      </c>
      <c r="F11" s="5" t="s">
        <v>27</v>
      </c>
      <c r="G11" s="5">
        <f>AVERAGE(D2:D101)</f>
        <v>38.670000000000002</v>
      </c>
      <c r="H11" s="5"/>
    </row>
    <row r="12">
      <c r="A12" s="7" t="s">
        <v>28</v>
      </c>
      <c r="B12" s="8">
        <v>2163</v>
      </c>
      <c r="C12" s="8" t="s">
        <v>7</v>
      </c>
      <c r="D12" s="8">
        <v>24</v>
      </c>
      <c r="F12" s="5" t="s">
        <v>29</v>
      </c>
      <c r="G12" s="5">
        <f>AVERAGEIF(C2:C101,C101,B2:B101)</f>
        <v>1401.7826086956522</v>
      </c>
      <c r="H12" s="5"/>
    </row>
    <row r="13">
      <c r="A13" s="7" t="s">
        <v>30</v>
      </c>
      <c r="B13" s="8">
        <v>714</v>
      </c>
      <c r="C13" s="8" t="s">
        <v>16</v>
      </c>
      <c r="D13" s="8">
        <v>49</v>
      </c>
      <c r="F13" s="10" t="s">
        <v>31</v>
      </c>
      <c r="G13" s="5">
        <f>AVERAGEIF(C2:C101,C100,B2:B101)</f>
        <v>1496.5925925925926</v>
      </c>
      <c r="H13" s="5"/>
    </row>
    <row r="14">
      <c r="A14" s="7" t="s">
        <v>32</v>
      </c>
      <c r="B14" s="8">
        <v>793</v>
      </c>
      <c r="C14" s="8" t="s">
        <v>7</v>
      </c>
      <c r="D14" s="8">
        <v>47</v>
      </c>
      <c r="F14" s="5" t="s">
        <v>33</v>
      </c>
      <c r="G14" s="5">
        <f>AVERAGEIF(B2:B101,"&gt;1000",B2:B101)</f>
        <v>1820.953125</v>
      </c>
      <c r="H14" s="5"/>
    </row>
    <row r="15">
      <c r="A15" s="7" t="s">
        <v>34</v>
      </c>
      <c r="B15" s="8">
        <v>2097</v>
      </c>
      <c r="C15" s="8" t="s">
        <v>7</v>
      </c>
      <c r="D15" s="8">
        <v>38</v>
      </c>
      <c r="F15" s="5" t="s">
        <v>35</v>
      </c>
      <c r="G15" s="5">
        <f>AVERAGEIFS(B2:B101,C2:C101,C6,D2:D101,"&gt;40")</f>
        <v>1505.3809523809523</v>
      </c>
      <c r="H15" s="5"/>
    </row>
    <row r="16">
      <c r="A16" s="7" t="s">
        <v>36</v>
      </c>
      <c r="B16" s="8">
        <v>1984</v>
      </c>
      <c r="C16" s="8" t="s">
        <v>16</v>
      </c>
      <c r="D16" s="8">
        <v>60</v>
      </c>
      <c r="F16" s="5" t="s">
        <v>37</v>
      </c>
      <c r="G16" s="5">
        <f>AVERAGEIFS(B2:B101,C2:C101,C2,D2:D101,"&lt;30")</f>
        <v>1567.9473684210527</v>
      </c>
      <c r="H16" s="5"/>
    </row>
    <row r="17">
      <c r="A17" s="7" t="s">
        <v>38</v>
      </c>
      <c r="B17" s="8">
        <v>1180</v>
      </c>
      <c r="C17" s="8" t="s">
        <v>16</v>
      </c>
      <c r="D17" s="8">
        <v>29</v>
      </c>
      <c r="F17" s="5" t="s">
        <v>39</v>
      </c>
      <c r="G17" s="5">
        <f>AVERAGEIFS(D2:D101,B2:B101,"&gt;1500",D2:D101,"&lt;50")</f>
        <v>33.416666666666664</v>
      </c>
      <c r="H17" s="5"/>
    </row>
    <row r="18">
      <c r="A18" s="7" t="s">
        <v>40</v>
      </c>
      <c r="B18" s="8">
        <v>1898</v>
      </c>
      <c r="C18" s="8" t="s">
        <v>7</v>
      </c>
      <c r="D18" s="8">
        <v>21</v>
      </c>
      <c r="F18" s="5" t="s">
        <v>41</v>
      </c>
      <c r="G18" s="5">
        <f>COUNTA(A2:A101)</f>
        <v>100</v>
      </c>
      <c r="H18" s="5"/>
    </row>
    <row r="19">
      <c r="A19" s="7" t="s">
        <v>42</v>
      </c>
      <c r="B19" s="8">
        <v>880</v>
      </c>
      <c r="C19" s="8" t="s">
        <v>7</v>
      </c>
      <c r="D19" s="8">
        <v>59</v>
      </c>
      <c r="F19" s="5" t="s">
        <v>43</v>
      </c>
      <c r="G19" s="5">
        <f>COUNTA(B2:B101)</f>
        <v>100</v>
      </c>
      <c r="H19" s="5"/>
    </row>
    <row r="20">
      <c r="A20" s="7" t="s">
        <v>44</v>
      </c>
      <c r="B20" s="8">
        <v>905</v>
      </c>
      <c r="C20" s="8" t="s">
        <v>7</v>
      </c>
      <c r="D20" s="8">
        <v>39</v>
      </c>
      <c r="F20" s="5" t="s">
        <v>45</v>
      </c>
      <c r="G20" s="5">
        <f>COUNTIF(C2:C101,C101)</f>
        <v>46</v>
      </c>
      <c r="H20" s="5"/>
    </row>
    <row r="21">
      <c r="A21" s="7" t="s">
        <v>46</v>
      </c>
      <c r="B21" s="8">
        <v>2237</v>
      </c>
      <c r="C21" s="8" t="s">
        <v>7</v>
      </c>
      <c r="D21" s="8">
        <v>24</v>
      </c>
      <c r="F21" s="5" t="s">
        <v>47</v>
      </c>
      <c r="G21" s="5">
        <f>COUNTIF(C2:C101,C100)</f>
        <v>54</v>
      </c>
      <c r="H21" s="5"/>
    </row>
    <row r="22">
      <c r="A22" s="7" t="s">
        <v>48</v>
      </c>
      <c r="B22" s="8">
        <v>2048</v>
      </c>
      <c r="C22" s="8" t="s">
        <v>7</v>
      </c>
      <c r="D22" s="8">
        <v>47</v>
      </c>
      <c r="F22" s="10" t="s">
        <v>49</v>
      </c>
      <c r="G22" s="5">
        <f>COUNTIF(B2:B102,"&gt;2000")</f>
        <v>28</v>
      </c>
      <c r="H22" s="5"/>
    </row>
    <row r="23">
      <c r="A23" s="7" t="s">
        <v>50</v>
      </c>
      <c r="B23" s="8">
        <v>521</v>
      </c>
      <c r="C23" s="8" t="s">
        <v>16</v>
      </c>
      <c r="D23" s="8">
        <v>33</v>
      </c>
      <c r="F23" s="5" t="s">
        <v>51</v>
      </c>
      <c r="G23" s="5">
        <f>COUNTIFS(C2:C101,C6,D2:D101,"&gt;40")</f>
        <v>21</v>
      </c>
      <c r="H23" s="5"/>
    </row>
    <row r="24">
      <c r="A24" s="7" t="s">
        <v>52</v>
      </c>
      <c r="B24" s="8">
        <v>952</v>
      </c>
      <c r="C24" s="8" t="s">
        <v>16</v>
      </c>
      <c r="D24" s="8">
        <v>41</v>
      </c>
      <c r="F24" s="5" t="s">
        <v>53</v>
      </c>
      <c r="G24" s="5">
        <f>COUNTIFS(C2:C101,C100,D2:D101,"&lt;30")</f>
        <v>19</v>
      </c>
      <c r="H24" s="5"/>
    </row>
    <row r="25">
      <c r="A25" s="7" t="s">
        <v>54</v>
      </c>
      <c r="B25" s="8">
        <v>709</v>
      </c>
      <c r="C25" s="8" t="s">
        <v>7</v>
      </c>
      <c r="D25" s="8">
        <v>52</v>
      </c>
      <c r="F25" s="5" t="s">
        <v>55</v>
      </c>
      <c r="G25" s="5">
        <f>MAX(B2:B101)</f>
        <v>2483</v>
      </c>
      <c r="H25" s="5">
        <f>MIN(B2:B101)</f>
        <v>506</v>
      </c>
    </row>
    <row r="26">
      <c r="A26" s="7" t="s">
        <v>56</v>
      </c>
      <c r="B26" s="8">
        <v>824</v>
      </c>
      <c r="C26" s="8" t="s">
        <v>16</v>
      </c>
      <c r="D26" s="8">
        <v>51</v>
      </c>
    </row>
    <row r="27">
      <c r="A27" s="7" t="s">
        <v>57</v>
      </c>
      <c r="B27" s="8">
        <v>1040</v>
      </c>
      <c r="C27" s="8" t="s">
        <v>7</v>
      </c>
      <c r="D27" s="8">
        <v>57</v>
      </c>
    </row>
    <row r="28">
      <c r="A28" s="7" t="s">
        <v>58</v>
      </c>
      <c r="B28" s="8">
        <v>979</v>
      </c>
      <c r="C28" s="8" t="s">
        <v>16</v>
      </c>
      <c r="D28" s="8">
        <v>37</v>
      </c>
    </row>
    <row r="29">
      <c r="A29" s="7" t="s">
        <v>59</v>
      </c>
      <c r="B29" s="8">
        <v>965</v>
      </c>
      <c r="C29" s="8" t="s">
        <v>16</v>
      </c>
      <c r="D29" s="8">
        <v>44</v>
      </c>
    </row>
    <row r="30">
      <c r="A30" s="7" t="s">
        <v>60</v>
      </c>
      <c r="B30" s="8">
        <v>754</v>
      </c>
      <c r="C30" s="8" t="s">
        <v>7</v>
      </c>
      <c r="D30" s="8">
        <v>39</v>
      </c>
    </row>
    <row r="31">
      <c r="A31" s="7" t="s">
        <v>44</v>
      </c>
      <c r="B31" s="8">
        <v>2382</v>
      </c>
      <c r="C31" s="8" t="s">
        <v>7</v>
      </c>
      <c r="D31" s="8">
        <v>45</v>
      </c>
    </row>
    <row r="32">
      <c r="A32" s="7" t="s">
        <v>61</v>
      </c>
      <c r="B32" s="8">
        <v>2333</v>
      </c>
      <c r="C32" s="8" t="s">
        <v>7</v>
      </c>
      <c r="D32" s="8">
        <v>24</v>
      </c>
    </row>
    <row r="33">
      <c r="A33" s="7" t="s">
        <v>26</v>
      </c>
      <c r="B33" s="8">
        <v>2219</v>
      </c>
      <c r="C33" s="8" t="s">
        <v>7</v>
      </c>
      <c r="D33" s="8">
        <v>23</v>
      </c>
    </row>
    <row r="34">
      <c r="A34" s="7" t="s">
        <v>62</v>
      </c>
      <c r="B34" s="8">
        <v>2208</v>
      </c>
      <c r="C34" s="8" t="s">
        <v>16</v>
      </c>
      <c r="D34" s="8">
        <v>30</v>
      </c>
    </row>
    <row r="35">
      <c r="A35" s="7" t="s">
        <v>9</v>
      </c>
      <c r="B35" s="8">
        <v>2442</v>
      </c>
      <c r="C35" s="8" t="s">
        <v>7</v>
      </c>
      <c r="D35" s="8">
        <v>48</v>
      </c>
    </row>
    <row r="36">
      <c r="A36" s="7" t="s">
        <v>63</v>
      </c>
      <c r="B36" s="8">
        <v>2111</v>
      </c>
      <c r="C36" s="8" t="s">
        <v>16</v>
      </c>
      <c r="D36" s="8">
        <v>20</v>
      </c>
    </row>
    <row r="37">
      <c r="A37" s="7" t="s">
        <v>64</v>
      </c>
      <c r="B37" s="8">
        <v>1562</v>
      </c>
      <c r="C37" s="8" t="s">
        <v>16</v>
      </c>
      <c r="D37" s="8">
        <v>28</v>
      </c>
    </row>
    <row r="38">
      <c r="A38" s="7" t="s">
        <v>65</v>
      </c>
      <c r="B38" s="8">
        <v>608</v>
      </c>
      <c r="C38" s="8" t="s">
        <v>7</v>
      </c>
      <c r="D38" s="8">
        <v>22</v>
      </c>
    </row>
    <row r="39">
      <c r="A39" s="7" t="s">
        <v>66</v>
      </c>
      <c r="B39" s="8">
        <v>1209</v>
      </c>
      <c r="C39" s="8" t="s">
        <v>16</v>
      </c>
      <c r="D39" s="8">
        <v>38</v>
      </c>
    </row>
    <row r="40">
      <c r="A40" s="7" t="s">
        <v>67</v>
      </c>
      <c r="B40" s="8">
        <v>977</v>
      </c>
      <c r="C40" s="8" t="s">
        <v>16</v>
      </c>
      <c r="D40" s="8">
        <v>49</v>
      </c>
    </row>
    <row r="41">
      <c r="A41" s="7" t="s">
        <v>68</v>
      </c>
      <c r="B41" s="8">
        <v>2101</v>
      </c>
      <c r="C41" s="8" t="s">
        <v>16</v>
      </c>
      <c r="D41" s="8">
        <v>53</v>
      </c>
    </row>
    <row r="42">
      <c r="A42" s="7" t="s">
        <v>69</v>
      </c>
      <c r="B42" s="8">
        <v>1116</v>
      </c>
      <c r="C42" s="8" t="s">
        <v>7</v>
      </c>
      <c r="D42" s="8">
        <v>29</v>
      </c>
    </row>
    <row r="43">
      <c r="A43" s="7" t="s">
        <v>70</v>
      </c>
      <c r="B43" s="8">
        <v>931</v>
      </c>
      <c r="C43" s="8" t="s">
        <v>7</v>
      </c>
      <c r="D43" s="8">
        <v>51</v>
      </c>
    </row>
    <row r="44">
      <c r="A44" s="7" t="s">
        <v>71</v>
      </c>
      <c r="B44" s="8">
        <v>1708</v>
      </c>
      <c r="C44" s="8" t="s">
        <v>16</v>
      </c>
      <c r="D44" s="8">
        <v>32</v>
      </c>
    </row>
    <row r="45">
      <c r="A45" s="7" t="s">
        <v>72</v>
      </c>
      <c r="B45" s="8">
        <v>1576</v>
      </c>
      <c r="C45" s="8" t="s">
        <v>7</v>
      </c>
      <c r="D45" s="8">
        <v>59</v>
      </c>
    </row>
    <row r="46">
      <c r="A46" s="7" t="s">
        <v>73</v>
      </c>
      <c r="B46" s="8">
        <v>990</v>
      </c>
      <c r="C46" s="8" t="s">
        <v>7</v>
      </c>
      <c r="D46" s="8">
        <v>43</v>
      </c>
    </row>
    <row r="47">
      <c r="A47" s="7" t="s">
        <v>74</v>
      </c>
      <c r="B47" s="8">
        <v>843</v>
      </c>
      <c r="C47" s="8" t="s">
        <v>16</v>
      </c>
      <c r="D47" s="8">
        <v>31</v>
      </c>
    </row>
    <row r="48">
      <c r="A48" s="7" t="s">
        <v>75</v>
      </c>
      <c r="B48" s="8">
        <v>1369</v>
      </c>
      <c r="C48" s="8" t="s">
        <v>16</v>
      </c>
      <c r="D48" s="8">
        <v>45</v>
      </c>
    </row>
    <row r="49">
      <c r="A49" s="7" t="s">
        <v>76</v>
      </c>
      <c r="B49" s="8">
        <v>672</v>
      </c>
      <c r="C49" s="8" t="s">
        <v>16</v>
      </c>
      <c r="D49" s="8">
        <v>23</v>
      </c>
    </row>
    <row r="50">
      <c r="A50" s="7" t="s">
        <v>77</v>
      </c>
      <c r="B50" s="8">
        <v>1129</v>
      </c>
      <c r="C50" s="8" t="s">
        <v>7</v>
      </c>
      <c r="D50" s="8">
        <v>29</v>
      </c>
    </row>
    <row r="51">
      <c r="A51" s="7" t="s">
        <v>78</v>
      </c>
      <c r="B51" s="8">
        <v>1776</v>
      </c>
      <c r="C51" s="8" t="s">
        <v>7</v>
      </c>
      <c r="D51" s="8">
        <v>37</v>
      </c>
    </row>
    <row r="52">
      <c r="A52" s="7" t="s">
        <v>79</v>
      </c>
      <c r="B52" s="8">
        <v>2249</v>
      </c>
      <c r="C52" s="8" t="s">
        <v>7</v>
      </c>
      <c r="D52" s="8">
        <v>59</v>
      </c>
    </row>
    <row r="53">
      <c r="A53" s="7" t="s">
        <v>80</v>
      </c>
      <c r="B53" s="8">
        <v>1408</v>
      </c>
      <c r="C53" s="8" t="s">
        <v>7</v>
      </c>
      <c r="D53" s="8">
        <v>42</v>
      </c>
    </row>
    <row r="54">
      <c r="A54" s="7" t="s">
        <v>81</v>
      </c>
      <c r="B54" s="8">
        <v>1629</v>
      </c>
      <c r="C54" s="8" t="s">
        <v>7</v>
      </c>
      <c r="D54" s="8">
        <v>48</v>
      </c>
    </row>
    <row r="55">
      <c r="A55" s="7" t="s">
        <v>82</v>
      </c>
      <c r="B55" s="8">
        <v>1134</v>
      </c>
      <c r="C55" s="8" t="s">
        <v>16</v>
      </c>
      <c r="D55" s="8">
        <v>27</v>
      </c>
    </row>
    <row r="56">
      <c r="A56" s="7" t="s">
        <v>83</v>
      </c>
      <c r="B56" s="8">
        <v>769</v>
      </c>
      <c r="C56" s="8" t="s">
        <v>7</v>
      </c>
      <c r="D56" s="8">
        <v>39</v>
      </c>
    </row>
    <row r="57">
      <c r="A57" s="7" t="s">
        <v>84</v>
      </c>
      <c r="B57" s="8">
        <v>1473</v>
      </c>
      <c r="C57" s="8" t="s">
        <v>7</v>
      </c>
      <c r="D57" s="8">
        <v>49</v>
      </c>
    </row>
    <row r="58">
      <c r="A58" s="7" t="s">
        <v>85</v>
      </c>
      <c r="B58" s="8">
        <v>1613</v>
      </c>
      <c r="C58" s="8" t="s">
        <v>7</v>
      </c>
      <c r="D58" s="8">
        <v>32</v>
      </c>
    </row>
    <row r="59">
      <c r="A59" s="7" t="s">
        <v>86</v>
      </c>
      <c r="B59" s="8">
        <v>1537</v>
      </c>
      <c r="C59" s="8" t="s">
        <v>16</v>
      </c>
      <c r="D59" s="8">
        <v>55</v>
      </c>
    </row>
    <row r="60">
      <c r="A60" s="7" t="s">
        <v>87</v>
      </c>
      <c r="B60" s="8">
        <v>1618</v>
      </c>
      <c r="C60" s="8" t="s">
        <v>16</v>
      </c>
      <c r="D60" s="8">
        <v>24</v>
      </c>
    </row>
    <row r="61">
      <c r="A61" s="7" t="s">
        <v>88</v>
      </c>
      <c r="B61" s="8">
        <v>2210</v>
      </c>
      <c r="C61" s="8" t="s">
        <v>16</v>
      </c>
      <c r="D61" s="8">
        <v>49</v>
      </c>
    </row>
    <row r="62">
      <c r="A62" s="7" t="s">
        <v>89</v>
      </c>
      <c r="B62" s="8">
        <v>771</v>
      </c>
      <c r="C62" s="8" t="s">
        <v>7</v>
      </c>
      <c r="D62" s="8">
        <v>50</v>
      </c>
    </row>
    <row r="63">
      <c r="A63" s="7" t="s">
        <v>90</v>
      </c>
      <c r="B63" s="8">
        <v>2296</v>
      </c>
      <c r="C63" s="8" t="s">
        <v>7</v>
      </c>
      <c r="D63" s="8">
        <v>35</v>
      </c>
    </row>
    <row r="64">
      <c r="A64" s="7" t="s">
        <v>91</v>
      </c>
      <c r="B64" s="8">
        <v>1723</v>
      </c>
      <c r="C64" s="8" t="s">
        <v>7</v>
      </c>
      <c r="D64" s="8">
        <v>24</v>
      </c>
    </row>
    <row r="65">
      <c r="A65" s="7" t="s">
        <v>92</v>
      </c>
      <c r="B65" s="8">
        <v>1242</v>
      </c>
      <c r="C65" s="8" t="s">
        <v>7</v>
      </c>
      <c r="D65" s="8">
        <v>24</v>
      </c>
    </row>
    <row r="66">
      <c r="A66" s="7" t="s">
        <v>93</v>
      </c>
      <c r="B66" s="8">
        <v>1891</v>
      </c>
      <c r="C66" s="8" t="s">
        <v>16</v>
      </c>
      <c r="D66" s="8">
        <v>31</v>
      </c>
    </row>
    <row r="67">
      <c r="A67" s="7" t="s">
        <v>94</v>
      </c>
      <c r="B67" s="8">
        <v>1615</v>
      </c>
      <c r="C67" s="8" t="s">
        <v>7</v>
      </c>
      <c r="D67" s="8">
        <v>34</v>
      </c>
    </row>
    <row r="68">
      <c r="A68" s="7" t="s">
        <v>95</v>
      </c>
      <c r="B68" s="8">
        <v>1455</v>
      </c>
      <c r="C68" s="8" t="s">
        <v>7</v>
      </c>
      <c r="D68" s="8">
        <v>26</v>
      </c>
    </row>
    <row r="69">
      <c r="A69" s="7" t="s">
        <v>96</v>
      </c>
      <c r="B69" s="8">
        <v>1916</v>
      </c>
      <c r="C69" s="8" t="s">
        <v>7</v>
      </c>
      <c r="D69" s="8">
        <v>39</v>
      </c>
    </row>
    <row r="70">
      <c r="A70" s="7" t="s">
        <v>97</v>
      </c>
      <c r="B70" s="8">
        <v>1059</v>
      </c>
      <c r="C70" s="8" t="s">
        <v>7</v>
      </c>
      <c r="D70" s="8">
        <v>30</v>
      </c>
    </row>
    <row r="71">
      <c r="A71" s="7" t="s">
        <v>98</v>
      </c>
      <c r="B71" s="8">
        <v>564</v>
      </c>
      <c r="C71" s="8" t="s">
        <v>7</v>
      </c>
      <c r="D71" s="8">
        <v>28</v>
      </c>
    </row>
    <row r="72">
      <c r="A72" s="7" t="s">
        <v>99</v>
      </c>
      <c r="B72" s="8">
        <v>1131</v>
      </c>
      <c r="C72" s="8" t="s">
        <v>16</v>
      </c>
      <c r="D72" s="8">
        <v>46</v>
      </c>
    </row>
    <row r="73">
      <c r="A73" s="7" t="s">
        <v>100</v>
      </c>
      <c r="B73" s="8">
        <v>561</v>
      </c>
      <c r="C73" s="8" t="s">
        <v>16</v>
      </c>
      <c r="D73" s="8">
        <v>26</v>
      </c>
    </row>
    <row r="74">
      <c r="A74" s="7" t="s">
        <v>101</v>
      </c>
      <c r="B74" s="8">
        <v>919</v>
      </c>
      <c r="C74" s="8" t="s">
        <v>16</v>
      </c>
      <c r="D74" s="8">
        <v>38</v>
      </c>
    </row>
    <row r="75">
      <c r="A75" s="7" t="s">
        <v>61</v>
      </c>
      <c r="B75" s="8">
        <v>585</v>
      </c>
      <c r="C75" s="8" t="s">
        <v>7</v>
      </c>
      <c r="D75" s="8">
        <v>26</v>
      </c>
    </row>
    <row r="76">
      <c r="A76" s="7" t="s">
        <v>102</v>
      </c>
      <c r="B76" s="8">
        <v>2358</v>
      </c>
      <c r="C76" s="8" t="s">
        <v>16</v>
      </c>
      <c r="D76" s="8">
        <v>51</v>
      </c>
    </row>
    <row r="77">
      <c r="A77" s="7" t="s">
        <v>103</v>
      </c>
      <c r="B77" s="8">
        <v>2289</v>
      </c>
      <c r="C77" s="8" t="s">
        <v>7</v>
      </c>
      <c r="D77" s="8">
        <v>54</v>
      </c>
    </row>
    <row r="78">
      <c r="A78" s="7" t="s">
        <v>104</v>
      </c>
      <c r="B78" s="8">
        <v>2396</v>
      </c>
      <c r="C78" s="8" t="s">
        <v>7</v>
      </c>
      <c r="D78" s="8">
        <v>59</v>
      </c>
    </row>
    <row r="79">
      <c r="A79" s="7" t="s">
        <v>105</v>
      </c>
      <c r="B79" s="8">
        <v>2483</v>
      </c>
      <c r="C79" s="8" t="s">
        <v>7</v>
      </c>
      <c r="D79" s="8">
        <v>24</v>
      </c>
    </row>
    <row r="80">
      <c r="A80" s="7" t="s">
        <v>106</v>
      </c>
      <c r="B80" s="8">
        <v>672</v>
      </c>
      <c r="C80" s="8" t="s">
        <v>7</v>
      </c>
      <c r="D80" s="8">
        <v>58</v>
      </c>
    </row>
    <row r="81">
      <c r="A81" s="7" t="s">
        <v>107</v>
      </c>
      <c r="B81" s="8">
        <v>2181</v>
      </c>
      <c r="C81" s="8" t="s">
        <v>7</v>
      </c>
      <c r="D81" s="8">
        <v>26</v>
      </c>
    </row>
    <row r="82">
      <c r="A82" s="7" t="s">
        <v>108</v>
      </c>
      <c r="B82" s="8">
        <v>2266</v>
      </c>
      <c r="C82" s="8" t="s">
        <v>16</v>
      </c>
      <c r="D82" s="8">
        <v>47</v>
      </c>
    </row>
    <row r="83">
      <c r="A83" s="7" t="s">
        <v>109</v>
      </c>
      <c r="B83" s="8">
        <v>2309</v>
      </c>
      <c r="C83" s="8" t="s">
        <v>16</v>
      </c>
      <c r="D83" s="8">
        <v>48</v>
      </c>
    </row>
    <row r="84">
      <c r="A84" s="7" t="s">
        <v>110</v>
      </c>
      <c r="B84" s="8">
        <v>1575</v>
      </c>
      <c r="C84" s="8" t="s">
        <v>16</v>
      </c>
      <c r="D84" s="8">
        <v>55</v>
      </c>
    </row>
    <row r="85">
      <c r="A85" s="7" t="s">
        <v>111</v>
      </c>
      <c r="B85" s="8">
        <v>2381</v>
      </c>
      <c r="C85" s="8" t="s">
        <v>16</v>
      </c>
      <c r="D85" s="8">
        <v>51</v>
      </c>
    </row>
    <row r="86">
      <c r="A86" s="7" t="s">
        <v>112</v>
      </c>
      <c r="B86" s="8">
        <v>1770</v>
      </c>
      <c r="C86" s="8" t="s">
        <v>7</v>
      </c>
      <c r="D86" s="8">
        <v>42</v>
      </c>
    </row>
    <row r="87">
      <c r="A87" s="7" t="s">
        <v>113</v>
      </c>
      <c r="B87" s="8">
        <v>851</v>
      </c>
      <c r="C87" s="8" t="s">
        <v>7</v>
      </c>
      <c r="D87" s="8">
        <v>53</v>
      </c>
    </row>
    <row r="88">
      <c r="A88" s="7" t="s">
        <v>114</v>
      </c>
      <c r="B88" s="8">
        <v>1737</v>
      </c>
      <c r="C88" s="8" t="s">
        <v>7</v>
      </c>
      <c r="D88" s="8">
        <v>26</v>
      </c>
    </row>
    <row r="89">
      <c r="A89" s="7" t="s">
        <v>115</v>
      </c>
      <c r="B89" s="8">
        <v>1018</v>
      </c>
      <c r="C89" s="8" t="s">
        <v>7</v>
      </c>
      <c r="D89" s="8">
        <v>23</v>
      </c>
    </row>
    <row r="90">
      <c r="A90" s="7" t="s">
        <v>116</v>
      </c>
      <c r="B90" s="8">
        <v>506</v>
      </c>
      <c r="C90" s="8" t="s">
        <v>16</v>
      </c>
      <c r="D90" s="8">
        <v>25</v>
      </c>
    </row>
    <row r="91">
      <c r="A91" s="7" t="s">
        <v>117</v>
      </c>
      <c r="B91" s="8">
        <v>2169</v>
      </c>
      <c r="C91" s="8" t="s">
        <v>16</v>
      </c>
      <c r="D91" s="8">
        <v>36</v>
      </c>
    </row>
    <row r="92">
      <c r="A92" s="7" t="s">
        <v>56</v>
      </c>
      <c r="B92" s="8">
        <v>775</v>
      </c>
      <c r="C92" s="8" t="s">
        <v>16</v>
      </c>
      <c r="D92" s="8">
        <v>40</v>
      </c>
    </row>
    <row r="93">
      <c r="A93" s="7" t="s">
        <v>118</v>
      </c>
      <c r="B93" s="8">
        <v>2440</v>
      </c>
      <c r="C93" s="8" t="s">
        <v>16</v>
      </c>
      <c r="D93" s="8">
        <v>36</v>
      </c>
    </row>
    <row r="94">
      <c r="A94" s="7" t="s">
        <v>119</v>
      </c>
      <c r="B94" s="8">
        <v>1322</v>
      </c>
      <c r="C94" s="8" t="s">
        <v>16</v>
      </c>
      <c r="D94" s="8">
        <v>20</v>
      </c>
    </row>
    <row r="95">
      <c r="A95" s="7" t="s">
        <v>120</v>
      </c>
      <c r="B95" s="8">
        <v>890</v>
      </c>
      <c r="C95" s="8" t="s">
        <v>16</v>
      </c>
      <c r="D95" s="8">
        <v>22</v>
      </c>
    </row>
    <row r="96">
      <c r="A96" s="7" t="s">
        <v>121</v>
      </c>
      <c r="B96" s="8">
        <v>1613</v>
      </c>
      <c r="C96" s="8" t="s">
        <v>16</v>
      </c>
      <c r="D96" s="8">
        <v>25</v>
      </c>
    </row>
    <row r="97">
      <c r="A97" s="7" t="s">
        <v>122</v>
      </c>
      <c r="B97" s="8">
        <v>704</v>
      </c>
      <c r="C97" s="8" t="s">
        <v>16</v>
      </c>
      <c r="D97" s="8">
        <v>51</v>
      </c>
    </row>
    <row r="98">
      <c r="A98" s="7" t="s">
        <v>87</v>
      </c>
      <c r="B98" s="8">
        <v>1101</v>
      </c>
      <c r="C98" s="8" t="s">
        <v>16</v>
      </c>
      <c r="D98" s="8">
        <v>43</v>
      </c>
    </row>
    <row r="99">
      <c r="A99" s="7" t="s">
        <v>123</v>
      </c>
      <c r="B99" s="8">
        <v>931</v>
      </c>
      <c r="C99" s="8" t="s">
        <v>16</v>
      </c>
      <c r="D99" s="8">
        <v>57</v>
      </c>
    </row>
    <row r="100">
      <c r="A100" s="7" t="s">
        <v>124</v>
      </c>
      <c r="B100" s="8">
        <v>2121</v>
      </c>
      <c r="C100" s="8" t="s">
        <v>7</v>
      </c>
      <c r="D100" s="8">
        <v>44</v>
      </c>
    </row>
    <row r="101">
      <c r="A101" s="7" t="s">
        <v>125</v>
      </c>
      <c r="B101" s="8">
        <v>771</v>
      </c>
      <c r="C101" s="8" t="s">
        <v>16</v>
      </c>
      <c r="D101" s="8">
        <v>21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2023.08.31</dc:creator>
  <cp:revision>1</cp:revision>
  <dcterms:created xsi:type="dcterms:W3CDTF">2026-03-12T03:49:50Z</dcterms:created>
  <dcterms:modified xsi:type="dcterms:W3CDTF">2026-03-12T06:19:28Z</dcterms:modified>
</cp:coreProperties>
</file>